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Sheet1" sheetId="1" r:id="rId1"/>
  </sheets>
  <definedNames>
    <definedName name="_xlnm._FilterDatabase" localSheetId="0" hidden="1">Sheet1!$I$1:$I$74</definedName>
  </definedNames>
  <calcPr calcId="191029" concurrentManualCount="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tc={0F9AFC9F-8CC7-457A-AF24-19A9BB473BF4}</author>
  </authors>
  <commentList>
    <comment ref="I33" authorId="0">
      <text>
        <r>
          <rPr>
            <sz val="10"/>
            <rFont val="宋体"/>
            <charset val="134"/>
          </rPr>
          <t>[线程批注]
你的Excel版本可读取此线程批注; 但如果在更新版本的Excel中打开文件，则对批注所作的任何改动都将被删除。了解详细信息: https://go.microsoft.com/fwlink/?linkid=870924
注释:
    补充计算</t>
        </r>
      </text>
    </comment>
  </commentList>
</comments>
</file>

<file path=xl/sharedStrings.xml><?xml version="1.0" encoding="utf-8"?>
<sst xmlns="http://schemas.openxmlformats.org/spreadsheetml/2006/main" count="252" uniqueCount="160">
  <si>
    <t>模块ID</t>
  </si>
  <si>
    <t>一级分类</t>
  </si>
  <si>
    <t>二级分类</t>
  </si>
  <si>
    <t>对应图表名称</t>
  </si>
  <si>
    <t>分析内容-默认</t>
  </si>
  <si>
    <t>分析内容-自定义</t>
  </si>
  <si>
    <t>注释内容</t>
  </si>
  <si>
    <t>话术</t>
  </si>
  <si>
    <t>summary_table</t>
  </si>
  <si>
    <t>关键年报数据</t>
  </si>
  <si>
    <t>关键数据预览</t>
  </si>
  <si>
    <t>inc_total</t>
  </si>
  <si>
    <t>收入</t>
  </si>
  <si>
    <t>保险服务收入</t>
  </si>
  <si>
    <t>新准则调整保险服务收入与确认原则：剔除投资成分、收入在提供服务的保险期间逐期确认。
寿险保费中投资成分占比较大，所以寿险保费不能计入保险服务收入的比例较高。</t>
  </si>
  <si>
    <t>此处仅包括原保险业务收入。</t>
  </si>
  <si>
    <t>平安人寿保险服务收入轻微下降，个险和团险收入下降，银保收入增加。
人保寿险增加幅度较大，来自于保成和维持费用的有利偏差。</t>
  </si>
  <si>
    <t>a家上升&amp;增幅最大值、
b家下降&amp;降幅最大值</t>
  </si>
  <si>
    <t>comp_1</t>
  </si>
  <si>
    <t>保险服务收入的构成 - 非PAA和PAA合同组</t>
  </si>
  <si>
    <t>2025年和2024年收入构成比例基本稳定</t>
  </si>
  <si>
    <t>a家主要构成部分为x（x是多数公司的最大构成部分）、
x占比的平均值、
y公司x的占比为b（最大值）</t>
  </si>
  <si>
    <t>comp_2</t>
  </si>
  <si>
    <t>保险服务收入的构成 - 非PAA合同组的收入构成</t>
  </si>
  <si>
    <r>
      <rPr>
        <sz val="10"/>
        <color theme="1"/>
        <rFont val="微软雅黑"/>
        <charset val="134"/>
      </rPr>
      <t>从长期险的收入构成来看，预期保险服务费用和合同服务边际释放为</t>
    </r>
    <r>
      <rPr>
        <sz val="10"/>
        <color theme="1"/>
        <rFont val="微软雅黑"/>
        <charset val="134"/>
      </rPr>
      <t>主要收入来源。</t>
    </r>
  </si>
  <si>
    <t>inv_return</t>
  </si>
  <si>
    <t>净投资回报</t>
  </si>
  <si>
    <t>净投资回报=利息收入+投资收益+公允价值变动+汇兑损益-利息支出-其他资产减值损失 - 信用减值损失。</t>
  </si>
  <si>
    <t>exp_total</t>
  </si>
  <si>
    <t>费用</t>
  </si>
  <si>
    <t>保险服务费用</t>
  </si>
  <si>
    <t>新准则调整保险服务费用的确认原则：剔除投资成分、收入在提供服务的保险期间逐期确认。</t>
  </si>
  <si>
    <t>人保寿险的保险服务费用大幅增加，增加100亿里面80亿来自于亏损确认及转回（去年是50亿亏损转回，今年是30亿亏损确认，不是新业务造成，新业务去年5亿LC NB，今年10亿）</t>
  </si>
  <si>
    <t>exp_1</t>
  </si>
  <si>
    <t>保险服务费用的构成 - 非PAA合同组的费用构成</t>
  </si>
  <si>
    <r>
      <rPr>
        <sz val="10"/>
        <color theme="1"/>
        <rFont val="微软雅黑"/>
        <charset val="134"/>
      </rPr>
      <t>从长期险的费用构成来看，当期发生的赔款及费用和保险获取现金流的摊销为</t>
    </r>
    <r>
      <rPr>
        <sz val="10"/>
        <color theme="1"/>
        <rFont val="微软雅黑"/>
        <charset val="134"/>
      </rPr>
      <t>主要费用来源。</t>
    </r>
  </si>
  <si>
    <t>uw_profit</t>
  </si>
  <si>
    <t>承保财务净损益</t>
  </si>
  <si>
    <t>承保财务净损益 = 承保财务损益 - 分出再保险财务损益。</t>
  </si>
  <si>
    <t>太平人寿承保财务损益下降和主推分红产品+有效久期缺口收窄有关</t>
  </si>
  <si>
    <t>exp_struct</t>
  </si>
  <si>
    <t>业务及管理费（新准则分类）</t>
  </si>
  <si>
    <t>此处非履约费用仅采用公司口径。</t>
  </si>
  <si>
    <t>各项占比最大的公司</t>
  </si>
  <si>
    <t>perf_total</t>
  </si>
  <si>
    <t>净利润</t>
  </si>
  <si>
    <t>保险服务业绩</t>
  </si>
  <si>
    <t>保险服务业绩=保险服务收入–保险服务费用。</t>
  </si>
  <si>
    <t>年报披露数据计算的非履约比例和实际精算假设认存在差异。以太平人寿为例，假设仅2%，会剔除委托管理费里面的投资费用。</t>
  </si>
  <si>
    <t>prof_2025</t>
  </si>
  <si>
    <t>最新年保险服务业绩构成</t>
  </si>
  <si>
    <r>
      <rPr>
        <sz val="10"/>
        <color theme="1"/>
        <rFont val="微软雅黑"/>
        <charset val="134"/>
      </rPr>
      <t>通过对保险利润进行拆分，对利润为正向贡献的主要项目为合同服务边际释放</t>
    </r>
    <r>
      <rPr>
        <sz val="10"/>
        <color theme="1"/>
        <rFont val="微软雅黑"/>
        <charset val="134"/>
      </rPr>
      <t>；对利润为负向贡献的主要项目为亏损部分的确认及转回（其中也包括当期签发保单初始确认的首日亏损）和再保净损益。</t>
    </r>
  </si>
  <si>
    <t>国寿基本没有什么营运偏差，或者有不利偏差的都在LC中出来了。</t>
  </si>
  <si>
    <t>【区分正向/负向】
a家主要构成部分为x（x是多数公司的最大构成部分）、
x占比的平均值、
y公司x的占比为b（最大值）</t>
  </si>
  <si>
    <t>prof_2024</t>
  </si>
  <si>
    <t>上一年保险服务业绩构成</t>
  </si>
  <si>
    <r>
      <rPr>
        <sz val="10"/>
        <color theme="1"/>
        <rFont val="微软雅黑"/>
        <charset val="134"/>
      </rPr>
      <t>通过对保险利润进行拆分，对利润为正向贡献的主要项目为合同服务边际释</t>
    </r>
    <r>
      <rPr>
        <sz val="10"/>
        <color theme="1"/>
        <rFont val="微软雅黑"/>
        <charset val="134"/>
      </rPr>
      <t>；对利润为负向贡献的主要项目为亏损部分的确认及转回（其中也包括当期签发保单初始确认的首日亏损）和再保净损益。</t>
    </r>
  </si>
  <si>
    <t>inv_profit</t>
  </si>
  <si>
    <t>投资服务业绩</t>
  </si>
  <si>
    <t>投资利润 = 净投资回报 – 承保财务净损益。</t>
  </si>
  <si>
    <t>prof_mix</t>
  </si>
  <si>
    <t>净利润的贡献 - 保险服务业绩和投资服务业绩</t>
  </si>
  <si>
    <t>此处保险服务业绩仅包括原保险。</t>
  </si>
  <si>
    <t>【投资利润/保险利润】
a家上升&amp;增幅最大值、
b家下降&amp;降幅最大值
【利润构成】
a家主要构成部分为x（x是多数公司的最大构成部分）、
x占比的平均值、
y公司x的占比为b（最大值）</t>
  </si>
  <si>
    <t>tax_profit</t>
  </si>
  <si>
    <t>税前利润、税率及净利润</t>
  </si>
  <si>
    <t>太平人寿释放了之前计提的税亏型递延所得税资产（但也同时计提了更多的税亏型递延所得税资产）</t>
  </si>
  <si>
    <t>【税率】
a家上升、
b家下降</t>
  </si>
  <si>
    <t>net_profit</t>
  </si>
  <si>
    <t>净利润(亏损)</t>
  </si>
  <si>
    <t>净利润 = 保险利润+投资利润+其他利润（主要包括其他业务收入、营业外收支和所得税费用等）。</t>
  </si>
  <si>
    <t>oci_profit</t>
  </si>
  <si>
    <t>综合收益</t>
  </si>
  <si>
    <t>其他综合收益</t>
  </si>
  <si>
    <t>综合收益总额 = 净利润+其他综合收益。</t>
  </si>
  <si>
    <t>oci_deep</t>
  </si>
  <si>
    <t>其他综合收益 - 资产负债匹配</t>
  </si>
  <si>
    <t>2025年末利率较去年末上升，相比于资产OCI下降的幅度，负债OCI上升的幅度并没有形成良好的对冲效果，这主要与不同公司负债端选择了不同的计量方案相关。</t>
  </si>
  <si>
    <t>缺口指可转损益的负债OCI变动+FVOCI债权公允价值变动。</t>
  </si>
  <si>
    <t>oci_year_lat</t>
  </si>
  <si>
    <t>其他综合收益 - 最新年综合收益变动情况</t>
  </si>
  <si>
    <t>2025年末当日国债收益率曲线较2024年末当日曲线呈一定幅度的上升。已披露公司在2025年FVOCI债券公允价值的负向波动均大于负债端OCI的正向波动。
2025年大部分头部寿险子公司仍增配了FVOCI股权类投资，使得净利润更加平稳，其波动计入其他综合收益。</t>
  </si>
  <si>
    <t>【OCI缺口】
a家上升、
b家下降</t>
  </si>
  <si>
    <t>oci_year_pre</t>
  </si>
  <si>
    <t>其他综合收益 - 上一年综合收益变动情况</t>
  </si>
  <si>
    <t>total_profit</t>
  </si>
  <si>
    <t>阳光综合收益是负的，但是净资产增加是因为发了51亿永续债</t>
  </si>
  <si>
    <t>asset_trend</t>
  </si>
  <si>
    <t>资产</t>
  </si>
  <si>
    <t>总资产</t>
  </si>
  <si>
    <t>asset_struct</t>
  </si>
  <si>
    <t>IFRS9 资产端分类</t>
  </si>
  <si>
    <t>采用新金融工具准则后，上市保险公司以公允价值计量的金融资产占均有不同程度的大幅增加，摊余成本计量的资产占比大幅减少；
新金融工具准则下，金融资产新增一项会计分类“其他权益工具投资”，即指定为公允价值计量且变动进综合收益；</t>
  </si>
  <si>
    <t>csm_bal</t>
  </si>
  <si>
    <t>合同服务边际</t>
  </si>
  <si>
    <t>CSM 余额</t>
  </si>
  <si>
    <t>csm_ratio</t>
  </si>
  <si>
    <t>CSM/BEL占比</t>
  </si>
  <si>
    <t>a家上升、
b家下降、
两年平均值</t>
  </si>
  <si>
    <t>csm_table</t>
  </si>
  <si>
    <t>CSM余额滚动表</t>
  </si>
  <si>
    <t>csm_trans</t>
  </si>
  <si>
    <t>按过渡期计量方法拆分CSM</t>
  </si>
  <si>
    <t>过渡日前的保险合同CSM余额占比逐年下降，但采用修正追溯法计量的合同的CSM余额占比目前仍居首位。</t>
  </si>
  <si>
    <t>a家主要构成部分为x（x是多数公司的最大构成部分）</t>
  </si>
  <si>
    <t>csm_comp_lat</t>
  </si>
  <si>
    <t>2025年摊销前 CSM 变动项占比</t>
  </si>
  <si>
    <t xml:space="preserve">当期摊销前的CSM变动项目，包括新业务CSM、CSM计息和CSM调整；可以将这三项归纳为Organic growth和Non-organic growth。
与未来服务相关的履约现金流估计的变化可以被CSM吸收，通常包括非经济假设变化的调整以及适用于VFA模型的金融风险变化的调整等。
CSM计息的基础包括期初存量的CSM余额和当期新增CSM，它在增加CSM的同时会计入承保财务损益。计息率需采用合同组锁定计息率，不随报告日市场利率曲线波动。
</t>
  </si>
  <si>
    <t>泰康两年CSM调整项变动巨大</t>
  </si>
  <si>
    <t>csm_comp_pre</t>
  </si>
  <si>
    <t>2024年摊销前 CSM 变动项占比</t>
  </si>
  <si>
    <t xml:space="preserve">当期摊销前的CSM变动项目，包括新业务CSM、CSM计息和CSM调整；可以将这三项归纳为Organic growth和Non-organic growth。
与未来服务相关的履约现金流估计的变化可以被CSM吸收，通常包括非经济假设变化的调整以及适用于VFA模型的金融风险变化的调整等。
CSM计息的基础包括期初存量的CSM余额和当期新增CSM，它在增加CSM的同时会计入承保财务损益。计息率需采用合同组锁定计息率，不随报告日市场利率曲线波动。
</t>
  </si>
  <si>
    <t>csm_ratio_trend</t>
  </si>
  <si>
    <t>CSM趋势(摊销比率/持续率）</t>
  </si>
  <si>
    <t>CSM摊销比率=(CSM摊销/摊销前的期末CSM); CSM持续率=(新业务CSM/CSM摊销)；
CSM持续率计算时，新业务CSM的口径与CSM摊销的口径保持一致，为所有业务口径。</t>
  </si>
  <si>
    <t>太平新业务CSM下降是受业务结构变化及假设调整影响：25年新业务由主卖传统转为分红，且分红多为期缴个险渠道，25年底调高期缴个险超支假设，CSM0减少</t>
  </si>
  <si>
    <t>a家上升、
b家下降</t>
  </si>
  <si>
    <t>equity_trend</t>
  </si>
  <si>
    <t>净资产</t>
  </si>
  <si>
    <t>净资产 = 上期末净资产+当期综合收益+其他（主要包括少数股东增资、发行债券和股东分红等）。</t>
  </si>
  <si>
    <t>csm_equity</t>
  </si>
  <si>
    <t>综合净资产</t>
  </si>
  <si>
    <t>净资产（过去累积的利润）
再保前税后CSM（扣除25%所得税后预期未来的利润储备）
再保前税后CSM/净资产（未来利润储备vs.过去利润累积）</t>
  </si>
  <si>
    <t>nb_csm</t>
  </si>
  <si>
    <t>新业务</t>
  </si>
  <si>
    <t>新业务CSM</t>
  </si>
  <si>
    <t>nb_lost</t>
  </si>
  <si>
    <t>新业务LC</t>
  </si>
  <si>
    <t>9家头部公司中，有6家公司2025年新业务LC有所上升。其中阳光人寿新业务LC上升最多，中国人寿新业务LC下降最多。</t>
  </si>
  <si>
    <t>新业务LC为非PAA合同组的新业务亏损合同金额</t>
  </si>
  <si>
    <t>nb_struct</t>
  </si>
  <si>
    <t>新业务价值明细（利润率/亏损率/RA率)</t>
  </si>
  <si>
    <t>新业务CSM利润率=新业务CSM/新业务未来现金流入的折现值；
新业务LC亏损率=新业务LC/新业务未来现金流入的折现值；
新业务RA率=新业务RA/新业务未来现金流入的折现值，太平人寿在新业务RA摊销载体重考虑获取费用，新业务RA比率高于行业平均水平。</t>
  </si>
  <si>
    <t>新业务CSM/新业务价值计算时保持新业务CSM与新业务价值口径一致；计算此指标使用的新业务CSM与新业务价值保持以下口径：中国平安新业务CSM和新业务价值仅包含寿险及健康险业务；中国太保新业务CSM和新业务价值仅包含太平洋人寿；中国太平新业务CSM和新业务价值仅包含太平人寿；中国人保新业务CSM和新业务价值仅包含人保寿险和人保健康，阳光保险新业务价值计算口径为阳光人寿。</t>
  </si>
  <si>
    <t>nb_margin_trend</t>
  </si>
  <si>
    <t>新业务 IFRS 利润率</t>
  </si>
  <si>
    <t>新业务IFRS利润率=(NBCSM–NBLC)/所有新业务未来现金流流入现值。</t>
  </si>
  <si>
    <t>新业务IFRS率计算时保持新业务CSM，新业务LC与新业务未来现金流流入现值口径一致；新业务未来现金流流入均保持所有业务口径。</t>
  </si>
  <si>
    <t>discount_rate</t>
  </si>
  <si>
    <t>关键披露信息</t>
  </si>
  <si>
    <t>折现率</t>
  </si>
  <si>
    <t xml:space="preserve">下表展示了2025年度和2024年度财务报表中不同集团/保险公司在计量长期人身保险合同所使用的折现率假设的披露情况。折现率上的差异将影响到过渡期计算以及后续新业务的计量。国内上市公司对于不随基础项目回报变动的折现率确定的方法较为一致，均采用“自下而上”的方式。
披露水平：对于国内的保险公司，折现率的披露较为一致。大多数上市公司披露了即期曲线的最大值和最小值。
</t>
  </si>
  <si>
    <t>confidence_level</t>
  </si>
  <si>
    <t>非金融风险调整置信水平</t>
  </si>
  <si>
    <t>下表展示了2025年度和2024年度财务报表中不同集团/保险公司在计算非金融风险调整中所披露的置信水平。
风险调整是对保险合同现金流进行的一种财务调整，以考虑与这些现金流相关的固有不确定性和风险。它充当了一个边际或缓冲，以确保保险公司充分覆盖可能偏离其最佳估计现金流的潜在差异。
对风险调整金额的不确定性或信心程度通过置信水平区间来表达。该区间表示可以通过“缓冲”金额覆盖偏差的统计确定程度。
我们观察到不同保险公司应用的置信水平相似；但保险集团内子公司可能采用不同的RA计算方法和置信水平，例如中国人保在其年度报告中提到，其采用了包括资本成本和置信水平法在内的多种方法。
中国平安、中国太保和阳光保险披露的非金融风险调整的置信水平包括再保前和分出再保部分（其中，中国平安和中国太保均75%，阳光保险为75%~85%）；友邦保险仅披露再保前非金融风险调整的置信水平，其余公司未披露具体细节。</t>
  </si>
  <si>
    <t>csm_maturity_table</t>
  </si>
  <si>
    <t>未来合同服务边际摊销</t>
  </si>
  <si>
    <t>下方表格提供了2025年度财务报表中不同集团/保险公司未来各日历年度合同服务边际（CSM）确认的预期时间线。
CSM未来确认时点的披露差异：不同公司在披露合同服务边际未来确认的时间线上存在较大的差异。在年报披露中，友邦、新华和人保披露了未来年度预期确认的CSM绝对金额。
大多数头部公司前10年CSM摊销比例可比。</t>
  </si>
  <si>
    <t>six_dimensional_charts</t>
  </si>
  <si>
    <t>关键业绩指标</t>
  </si>
  <si>
    <t xml:space="preserve"> 财务结果表现</t>
  </si>
  <si>
    <t>我们基于各家公司年报的披露信息，将各公司的财务结果表现分析统计为以下六个指标：</t>
  </si>
  <si>
    <t>report_detail</t>
  </si>
  <si>
    <t>附录</t>
  </si>
  <si>
    <t>保险服务业绩明细表</t>
  </si>
  <si>
    <t>下表展示了2025和2024年度财务报表中不同集团/保险公司披露的保险服务业绩的明细。</t>
  </si>
  <si>
    <t>nbv_table</t>
  </si>
  <si>
    <t>新业务价值相关分析</t>
  </si>
  <si>
    <t>我们基于各家公司年报的披露信息，统计2025和2024年度CSM/VNB的分析指标，汇总如下：</t>
  </si>
  <si>
    <t>新业务利润率=（NBCSM–NBLC）/所有新业务未来现金流流入现值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</si>
</sst>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0"/>
      <color theme="0"/>
      <name val="微软雅黑"/>
      <charset val="134"/>
    </font>
    <font>
      <sz val="10"/>
      <color theme="1"/>
      <name val="微软雅黑"/>
      <charset val="134"/>
    </font>
    <font>
      <sz val="10"/>
      <color rgb="FFFF0000"/>
      <name val="微软雅黑"/>
      <charset val="134"/>
    </font>
    <font>
      <sz val="10"/>
      <name val="微软雅黑"/>
      <charset val="134"/>
    </font>
    <font>
      <sz val="11"/>
      <color theme="1"/>
      <name val="微软雅黑"/>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5">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5" borderId="6" applyNumberFormat="0" applyAlignment="0" applyProtection="0">
      <alignment vertical="center"/>
    </xf>
    <xf numFmtId="0" fontId="16" fillId="6" borderId="7" applyNumberFormat="0" applyAlignment="0" applyProtection="0">
      <alignment vertical="center"/>
    </xf>
    <xf numFmtId="0" fontId="17" fillId="6" borderId="6" applyNumberFormat="0" applyAlignment="0" applyProtection="0">
      <alignment vertical="center"/>
    </xf>
    <xf numFmtId="0" fontId="18" fillId="7"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8">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xf>
    <xf numFmtId="0" fontId="1" fillId="2" borderId="1" xfId="0" applyFont="1" applyFill="1" applyBorder="1" applyAlignment="1">
      <alignment horizontal="center" vertical="center" wrapText="1" readingOrder="1"/>
    </xf>
    <xf numFmtId="0" fontId="1" fillId="2" borderId="2" xfId="0" applyFont="1" applyFill="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left" vertical="center" wrapText="1" readingOrder="1"/>
    </xf>
    <xf numFmtId="0" fontId="2" fillId="0" borderId="1" xfId="0" applyFont="1" applyBorder="1" applyAlignment="1">
      <alignment horizontal="center" vertical="center"/>
      <extLst>
        <ext xmlns:etc="http://www.wps.cn/officeDocument/2017/etCustomData" uri="{F19249F5-4A6E-446B-B59F-E2C9F2DAA1D5}">
          <etc:displayText val="2"/>
        </ext>
      </extLst>
    </xf>
    <xf numFmtId="0" fontId="2" fillId="0" borderId="0" xfId="0" applyFont="1" applyAlignment="1">
      <alignment vertical="center" wrapText="1"/>
    </xf>
    <xf numFmtId="0" fontId="2" fillId="0" borderId="2" xfId="0" applyFont="1" applyBorder="1" applyAlignment="1">
      <alignment horizontal="left" vertical="center" wrapText="1" readingOrder="1"/>
    </xf>
    <xf numFmtId="0" fontId="2" fillId="0" borderId="0" xfId="0" applyFont="1" applyAlignment="1">
      <alignment horizontal="left" vertical="center" wrapText="1" readingOrder="1"/>
    </xf>
    <xf numFmtId="9" fontId="0" fillId="0" borderId="0" xfId="0" applyNumberFormat="1">
      <alignment vertical="center"/>
    </xf>
    <xf numFmtId="0" fontId="3" fillId="0" borderId="1" xfId="0" applyFont="1" applyBorder="1" applyAlignment="1">
      <alignment horizontal="left" vertical="center" wrapText="1" readingOrder="1"/>
    </xf>
    <xf numFmtId="0" fontId="4" fillId="0" borderId="1" xfId="0" applyFont="1" applyBorder="1" applyAlignment="1">
      <alignment horizontal="left" vertical="center" wrapText="1" readingOrder="1"/>
    </xf>
    <xf numFmtId="0" fontId="5" fillId="0" borderId="0" xfId="0" applyFont="1" applyAlignment="1">
      <alignment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6"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109539</xdr:colOff>
      <xdr:row>10</xdr:row>
      <xdr:rowOff>208416</xdr:rowOff>
    </xdr:from>
    <xdr:to>
      <xdr:col>23</xdr:col>
      <xdr:colOff>326358</xdr:colOff>
      <xdr:row>10</xdr:row>
      <xdr:rowOff>640238</xdr:rowOff>
    </xdr:to>
    <xdr:pic>
      <xdr:nvPicPr>
        <xdr:cNvPr id="2" name="Picture 1"/>
        <xdr:cNvPicPr>
          <a:picLocks noChangeAspect="1"/>
        </xdr:cNvPicPr>
      </xdr:nvPicPr>
      <xdr:blipFill>
        <a:blip r:embed="rId1"/>
        <a:stretch>
          <a:fillRect/>
        </a:stretch>
      </xdr:blipFill>
      <xdr:spPr>
        <a:xfrm>
          <a:off x="16317595" y="5757545"/>
          <a:ext cx="9746615" cy="431800"/>
        </a:xfrm>
        <a:prstGeom prst="rect">
          <a:avLst/>
        </a:prstGeom>
      </xdr:spPr>
    </xdr:pic>
    <xdr:clientData/>
  </xdr:twoCellAnchor>
  <xdr:twoCellAnchor editAs="oneCell">
    <xdr:from>
      <xdr:col>9</xdr:col>
      <xdr:colOff>358094</xdr:colOff>
      <xdr:row>11</xdr:row>
      <xdr:rowOff>665616</xdr:rowOff>
    </xdr:from>
    <xdr:to>
      <xdr:col>23</xdr:col>
      <xdr:colOff>257396</xdr:colOff>
      <xdr:row>12</xdr:row>
      <xdr:rowOff>284645</xdr:rowOff>
    </xdr:to>
    <xdr:pic>
      <xdr:nvPicPr>
        <xdr:cNvPr id="3" name="Picture 2"/>
        <xdr:cNvPicPr>
          <a:picLocks noChangeAspect="1"/>
        </xdr:cNvPicPr>
      </xdr:nvPicPr>
      <xdr:blipFill>
        <a:blip r:embed="rId2"/>
        <a:stretch>
          <a:fillRect/>
        </a:stretch>
      </xdr:blipFill>
      <xdr:spPr>
        <a:xfrm>
          <a:off x="16565880" y="6929120"/>
          <a:ext cx="9429750" cy="509905"/>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4"/>
  <sheetViews>
    <sheetView tabSelected="1" workbookViewId="0">
      <selection activeCell="F2" sqref="F2:F43"/>
    </sheetView>
  </sheetViews>
  <sheetFormatPr defaultColWidth="9" defaultRowHeight="13.5"/>
  <cols>
    <col min="1" max="1" width="10.5398230088496" style="1" customWidth="1"/>
    <col min="2" max="2" width="11.9026548672566" style="1" customWidth="1"/>
    <col min="3" max="3" width="13" style="1" customWidth="1"/>
    <col min="4" max="4" width="43.6371681415929" style="2" customWidth="1"/>
    <col min="5" max="6" width="36.2654867256637" style="1" customWidth="1"/>
    <col min="7" max="7" width="43.6371681415929" style="1" customWidth="1"/>
    <col min="8" max="8" width="30.6371681415929" hidden="1" customWidth="1"/>
    <col min="9" max="9" width="30.6371681415929" customWidth="1"/>
    <col min="10" max="10" width="15.8141592920354" customWidth="1"/>
  </cols>
  <sheetData>
    <row r="1" ht="14.65" spans="1:19">
      <c r="A1" s="3" t="s">
        <v>0</v>
      </c>
      <c r="B1" s="3" t="s">
        <v>1</v>
      </c>
      <c r="C1" s="3" t="s">
        <v>2</v>
      </c>
      <c r="D1" s="3" t="s">
        <v>3</v>
      </c>
      <c r="E1" s="3" t="s">
        <v>4</v>
      </c>
      <c r="F1" s="3" t="s">
        <v>5</v>
      </c>
      <c r="G1" s="3" t="s">
        <v>6</v>
      </c>
      <c r="I1" s="4" t="s">
        <v>7</v>
      </c>
    </row>
    <row r="2" ht="28.5" spans="1:19">
      <c r="A2" s="5" t="s">
        <v>8</v>
      </c>
      <c r="B2" s="5" t="s">
        <v>9</v>
      </c>
      <c r="C2" s="5"/>
      <c r="D2" s="5" t="s">
        <v>10</v>
      </c>
      <c r="E2" s="6"/>
      <c r="F2" s="6"/>
      <c r="G2" s="6"/>
    </row>
    <row r="3" ht="70.15" spans="1:19">
      <c r="A3" s="5" t="s">
        <v>11</v>
      </c>
      <c r="B3" s="5" t="s">
        <v>9</v>
      </c>
      <c r="C3" s="5" t="s">
        <v>12</v>
      </c>
      <c r="D3" s="7" t="s">
        <v>13</v>
      </c>
      <c r="E3" s="6" t="s">
        <v>14</v>
      </c>
      <c r="F3" s="6"/>
      <c r="G3" s="6" t="s">
        <v>15</v>
      </c>
      <c r="H3" s="8" t="s">
        <v>16</v>
      </c>
      <c r="I3" s="8" t="s">
        <v>17</v>
      </c>
    </row>
    <row r="4" ht="56.25" spans="1:19">
      <c r="A4" s="5" t="s">
        <v>18</v>
      </c>
      <c r="B4" s="5" t="s">
        <v>9</v>
      </c>
      <c r="C4" s="5" t="s">
        <v>12</v>
      </c>
      <c r="D4" s="7" t="s">
        <v>19</v>
      </c>
      <c r="E4" s="6" t="s">
        <v>20</v>
      </c>
      <c r="F4" s="6"/>
      <c r="G4" s="6"/>
      <c r="I4" s="9" t="s">
        <v>21</v>
      </c>
    </row>
    <row r="5" ht="56.25" spans="1:19">
      <c r="A5" s="5" t="s">
        <v>22</v>
      </c>
      <c r="B5" s="5" t="s">
        <v>9</v>
      </c>
      <c r="C5" s="5" t="s">
        <v>12</v>
      </c>
      <c r="D5" s="7" t="s">
        <v>23</v>
      </c>
      <c r="E5" s="6" t="s">
        <v>24</v>
      </c>
      <c r="F5" s="6"/>
      <c r="G5" s="6"/>
      <c r="I5" s="9" t="s">
        <v>21</v>
      </c>
    </row>
    <row r="6" ht="42.4" spans="1:19">
      <c r="A6" s="5" t="s">
        <v>25</v>
      </c>
      <c r="B6" s="5" t="s">
        <v>9</v>
      </c>
      <c r="C6" s="5" t="s">
        <v>12</v>
      </c>
      <c r="D6" s="7" t="s">
        <v>26</v>
      </c>
      <c r="E6" s="6" t="s">
        <v>27</v>
      </c>
      <c r="F6" s="6"/>
      <c r="G6" s="6"/>
      <c r="I6" s="8" t="s">
        <v>17</v>
      </c>
    </row>
    <row r="7" ht="70.15" spans="1:19">
      <c r="A7" s="5" t="s">
        <v>28</v>
      </c>
      <c r="B7" s="5" t="s">
        <v>9</v>
      </c>
      <c r="C7" s="5" t="s">
        <v>29</v>
      </c>
      <c r="D7" s="7" t="s">
        <v>30</v>
      </c>
      <c r="E7" s="6" t="s">
        <v>31</v>
      </c>
      <c r="F7" s="6"/>
      <c r="G7" s="6" t="s">
        <v>15</v>
      </c>
      <c r="H7" s="8" t="s">
        <v>32</v>
      </c>
      <c r="I7" s="8" t="s">
        <v>17</v>
      </c>
    </row>
    <row r="8" ht="56.25" spans="1:19">
      <c r="A8" s="5" t="s">
        <v>33</v>
      </c>
      <c r="B8" s="5" t="s">
        <v>9</v>
      </c>
      <c r="C8" s="5" t="s">
        <v>29</v>
      </c>
      <c r="D8" s="7" t="s">
        <v>34</v>
      </c>
      <c r="E8" s="6" t="s">
        <v>35</v>
      </c>
      <c r="F8" s="6"/>
      <c r="G8" s="6"/>
      <c r="H8" s="8"/>
      <c r="I8" s="9" t="s">
        <v>21</v>
      </c>
    </row>
    <row r="9" ht="27.75" spans="1:19">
      <c r="A9" s="5" t="s">
        <v>36</v>
      </c>
      <c r="B9" s="5" t="s">
        <v>9</v>
      </c>
      <c r="C9" s="5" t="s">
        <v>29</v>
      </c>
      <c r="D9" s="7" t="s">
        <v>37</v>
      </c>
      <c r="E9" s="6" t="s">
        <v>38</v>
      </c>
      <c r="F9" s="6"/>
      <c r="G9" s="6"/>
      <c r="H9" s="8" t="s">
        <v>39</v>
      </c>
      <c r="I9" s="8" t="s">
        <v>17</v>
      </c>
    </row>
    <row r="10" ht="14.6" spans="1:19">
      <c r="A10" s="5" t="s">
        <v>40</v>
      </c>
      <c r="B10" s="5" t="s">
        <v>9</v>
      </c>
      <c r="C10" s="5" t="s">
        <v>29</v>
      </c>
      <c r="D10" s="7" t="s">
        <v>41</v>
      </c>
      <c r="E10" s="6"/>
      <c r="F10" s="6"/>
      <c r="G10" s="6" t="s">
        <v>42</v>
      </c>
      <c r="I10" s="9" t="s">
        <v>43</v>
      </c>
      <c r="J10" s="9"/>
    </row>
    <row r="11" ht="56.25" spans="1:19">
      <c r="A11" s="5" t="s">
        <v>44</v>
      </c>
      <c r="B11" s="5" t="s">
        <v>9</v>
      </c>
      <c r="C11" s="5" t="s">
        <v>45</v>
      </c>
      <c r="D11" s="7" t="s">
        <v>46</v>
      </c>
      <c r="E11" s="6" t="s">
        <v>47</v>
      </c>
      <c r="F11" s="6"/>
      <c r="G11" s="6" t="s">
        <v>15</v>
      </c>
      <c r="H11" s="10" t="s">
        <v>48</v>
      </c>
      <c r="I11" s="8" t="s">
        <v>17</v>
      </c>
    </row>
    <row r="12" ht="70.15" spans="1:19">
      <c r="A12" s="5" t="s">
        <v>49</v>
      </c>
      <c r="B12" s="5" t="s">
        <v>9</v>
      </c>
      <c r="C12" s="5" t="s">
        <v>45</v>
      </c>
      <c r="D12" s="7" t="s">
        <v>50</v>
      </c>
      <c r="E12" s="6" t="s">
        <v>51</v>
      </c>
      <c r="F12" s="6"/>
      <c r="G12" s="6"/>
      <c r="H12" s="10" t="s">
        <v>52</v>
      </c>
      <c r="I12" s="9" t="s">
        <v>53</v>
      </c>
      <c r="J12" s="11"/>
      <c r="K12" s="11">
        <v>1.06</v>
      </c>
      <c r="L12" s="11">
        <v>1.26</v>
      </c>
      <c r="M12" s="11">
        <v>0.95</v>
      </c>
      <c r="N12" s="11">
        <v>0.91</v>
      </c>
      <c r="O12" s="11">
        <v>0.8</v>
      </c>
      <c r="P12" s="11">
        <v>0.82</v>
      </c>
      <c r="Q12" s="11">
        <v>0.91</v>
      </c>
      <c r="R12" s="11">
        <v>0.98</v>
      </c>
      <c r="S12" s="11">
        <v>0.96</v>
      </c>
    </row>
    <row r="13" ht="70.15" spans="1:19">
      <c r="A13" s="5" t="s">
        <v>54</v>
      </c>
      <c r="B13" s="5" t="s">
        <v>9</v>
      </c>
      <c r="C13" s="5" t="s">
        <v>45</v>
      </c>
      <c r="D13" s="7" t="s">
        <v>55</v>
      </c>
      <c r="E13" s="6" t="s">
        <v>56</v>
      </c>
      <c r="F13" s="6"/>
      <c r="G13" s="6"/>
      <c r="H13" s="10"/>
      <c r="I13" s="9" t="s">
        <v>53</v>
      </c>
      <c r="J13" s="11">
        <f>AVERAGE(K13:S13)</f>
        <v>1.01666666666667</v>
      </c>
      <c r="K13" s="11">
        <v>2.29</v>
      </c>
      <c r="L13" s="11">
        <v>0.62</v>
      </c>
      <c r="M13" s="11">
        <v>0.96</v>
      </c>
      <c r="N13" s="11">
        <v>0.9</v>
      </c>
      <c r="O13" s="11">
        <v>0.83</v>
      </c>
      <c r="P13" s="11">
        <v>0.83</v>
      </c>
      <c r="Q13" s="11">
        <v>0.99</v>
      </c>
      <c r="R13" s="11">
        <v>0.89</v>
      </c>
      <c r="S13" s="11">
        <v>0.84</v>
      </c>
    </row>
    <row r="14" ht="27.75" spans="1:19">
      <c r="A14" s="5" t="s">
        <v>57</v>
      </c>
      <c r="B14" s="5" t="s">
        <v>9</v>
      </c>
      <c r="C14" s="5" t="s">
        <v>45</v>
      </c>
      <c r="D14" s="7" t="s">
        <v>58</v>
      </c>
      <c r="E14" s="6" t="s">
        <v>59</v>
      </c>
      <c r="F14" s="6"/>
      <c r="G14" s="6"/>
      <c r="I14" s="8" t="s">
        <v>17</v>
      </c>
    </row>
    <row r="15" ht="111.75" spans="1:19">
      <c r="A15" s="5" t="s">
        <v>60</v>
      </c>
      <c r="B15" s="5" t="s">
        <v>9</v>
      </c>
      <c r="C15" s="5" t="s">
        <v>45</v>
      </c>
      <c r="D15" s="7" t="s">
        <v>61</v>
      </c>
      <c r="E15" s="12"/>
      <c r="F15" s="13"/>
      <c r="G15" s="6" t="s">
        <v>62</v>
      </c>
      <c r="I15" s="8" t="s">
        <v>63</v>
      </c>
    </row>
    <row r="16" ht="41.65" spans="1:19">
      <c r="A16" s="5" t="s">
        <v>64</v>
      </c>
      <c r="B16" s="5" t="s">
        <v>9</v>
      </c>
      <c r="C16" s="5" t="s">
        <v>45</v>
      </c>
      <c r="D16" s="7" t="s">
        <v>65</v>
      </c>
      <c r="E16" s="6"/>
      <c r="F16" s="6"/>
      <c r="G16" s="6"/>
      <c r="H16" s="10" t="s">
        <v>66</v>
      </c>
      <c r="I16" s="10" t="s">
        <v>67</v>
      </c>
    </row>
    <row r="17" ht="42.4" spans="1:10">
      <c r="A17" s="5" t="s">
        <v>68</v>
      </c>
      <c r="B17" s="5" t="s">
        <v>9</v>
      </c>
      <c r="C17" s="5" t="s">
        <v>45</v>
      </c>
      <c r="D17" s="7" t="s">
        <v>69</v>
      </c>
      <c r="E17" s="6" t="s">
        <v>70</v>
      </c>
      <c r="F17" s="6"/>
      <c r="G17" s="6"/>
      <c r="I17" s="8" t="s">
        <v>17</v>
      </c>
    </row>
    <row r="18" ht="27.75" spans="1:10">
      <c r="A18" s="5" t="s">
        <v>71</v>
      </c>
      <c r="B18" s="5" t="s">
        <v>9</v>
      </c>
      <c r="C18" s="5" t="s">
        <v>72</v>
      </c>
      <c r="D18" s="7" t="s">
        <v>73</v>
      </c>
      <c r="E18" s="6" t="s">
        <v>74</v>
      </c>
      <c r="F18" s="6"/>
      <c r="G18" s="6"/>
      <c r="I18" s="8" t="s">
        <v>17</v>
      </c>
    </row>
    <row r="19" ht="56.25" spans="1:10">
      <c r="A19" s="5" t="s">
        <v>75</v>
      </c>
      <c r="B19" s="5" t="s">
        <v>9</v>
      </c>
      <c r="C19" s="5" t="s">
        <v>72</v>
      </c>
      <c r="D19" s="7" t="s">
        <v>76</v>
      </c>
      <c r="E19" s="6" t="s">
        <v>77</v>
      </c>
      <c r="F19" s="6"/>
      <c r="G19" s="6" t="s">
        <v>78</v>
      </c>
    </row>
    <row r="20" ht="97.9" spans="1:10">
      <c r="A20" s="5" t="s">
        <v>79</v>
      </c>
      <c r="B20" s="5" t="s">
        <v>9</v>
      </c>
      <c r="C20" s="5" t="s">
        <v>72</v>
      </c>
      <c r="D20" s="7" t="s">
        <v>80</v>
      </c>
      <c r="E20" s="13" t="s">
        <v>81</v>
      </c>
      <c r="F20" s="13"/>
      <c r="G20" s="6"/>
      <c r="I20" s="8" t="s">
        <v>82</v>
      </c>
    </row>
    <row r="21" ht="28.5" spans="1:10">
      <c r="A21" s="5" t="s">
        <v>83</v>
      </c>
      <c r="B21" s="5" t="s">
        <v>9</v>
      </c>
      <c r="C21" s="5" t="s">
        <v>72</v>
      </c>
      <c r="D21" s="7" t="s">
        <v>84</v>
      </c>
      <c r="E21" s="2"/>
      <c r="F21" s="2"/>
      <c r="G21" s="6"/>
    </row>
    <row r="22" ht="27.75" spans="1:10">
      <c r="A22" s="5" t="s">
        <v>85</v>
      </c>
      <c r="B22" s="5" t="s">
        <v>9</v>
      </c>
      <c r="C22" s="5" t="s">
        <v>72</v>
      </c>
      <c r="D22" s="7" t="s">
        <v>72</v>
      </c>
      <c r="E22" s="6" t="s">
        <v>74</v>
      </c>
      <c r="F22" s="6"/>
      <c r="G22" s="6"/>
      <c r="H22" s="10" t="s">
        <v>86</v>
      </c>
      <c r="I22" s="8" t="s">
        <v>17</v>
      </c>
    </row>
    <row r="23" ht="27.75" spans="1:10">
      <c r="A23" s="5" t="s">
        <v>87</v>
      </c>
      <c r="B23" s="5" t="s">
        <v>9</v>
      </c>
      <c r="C23" s="5" t="s">
        <v>88</v>
      </c>
      <c r="D23" s="7" t="s">
        <v>89</v>
      </c>
      <c r="E23" s="6"/>
      <c r="F23" s="6"/>
      <c r="G23" s="6"/>
      <c r="I23" s="8" t="s">
        <v>17</v>
      </c>
    </row>
    <row r="24" ht="97.9" spans="1:10">
      <c r="A24" s="5" t="s">
        <v>90</v>
      </c>
      <c r="B24" s="5" t="s">
        <v>9</v>
      </c>
      <c r="C24" s="5" t="s">
        <v>88</v>
      </c>
      <c r="D24" s="7" t="s">
        <v>91</v>
      </c>
      <c r="E24" s="6" t="s">
        <v>92</v>
      </c>
      <c r="F24" s="10"/>
      <c r="G24" s="2"/>
      <c r="I24" s="9" t="s">
        <v>21</v>
      </c>
    </row>
    <row r="25" ht="27.75" spans="1:10">
      <c r="A25" s="5" t="s">
        <v>93</v>
      </c>
      <c r="B25" s="5" t="s">
        <v>9</v>
      </c>
      <c r="C25" s="5" t="s">
        <v>94</v>
      </c>
      <c r="D25" s="7" t="s">
        <v>95</v>
      </c>
      <c r="E25" s="6"/>
      <c r="F25" s="6"/>
      <c r="G25" s="6"/>
      <c r="I25" s="8" t="s">
        <v>17</v>
      </c>
    </row>
    <row r="26" ht="42.4" spans="1:10">
      <c r="A26" s="5" t="s">
        <v>96</v>
      </c>
      <c r="B26" s="5" t="s">
        <v>9</v>
      </c>
      <c r="C26" s="5" t="s">
        <v>94</v>
      </c>
      <c r="D26" s="7" t="s">
        <v>97</v>
      </c>
      <c r="E26" s="6"/>
      <c r="F26" s="6"/>
      <c r="G26" s="6"/>
      <c r="I26" s="10" t="s">
        <v>98</v>
      </c>
    </row>
    <row r="27" ht="14.65" spans="1:10">
      <c r="A27" s="5" t="s">
        <v>99</v>
      </c>
      <c r="B27" s="5" t="s">
        <v>9</v>
      </c>
      <c r="C27" s="5" t="s">
        <v>94</v>
      </c>
      <c r="D27" s="7" t="s">
        <v>100</v>
      </c>
      <c r="E27" s="2"/>
      <c r="F27" s="2"/>
      <c r="G27" s="6"/>
    </row>
    <row r="28" ht="42.4" spans="1:10">
      <c r="A28" s="5" t="s">
        <v>101</v>
      </c>
      <c r="B28" s="5" t="s">
        <v>9</v>
      </c>
      <c r="C28" s="5" t="s">
        <v>94</v>
      </c>
      <c r="D28" s="7" t="s">
        <v>102</v>
      </c>
      <c r="E28" s="6" t="s">
        <v>103</v>
      </c>
      <c r="F28" s="6"/>
      <c r="G28" s="6"/>
      <c r="I28" s="9" t="s">
        <v>104</v>
      </c>
    </row>
    <row r="29" ht="181.15" spans="1:10">
      <c r="A29" s="5" t="s">
        <v>105</v>
      </c>
      <c r="B29" s="5" t="s">
        <v>9</v>
      </c>
      <c r="C29" s="5" t="s">
        <v>94</v>
      </c>
      <c r="D29" s="7" t="s">
        <v>106</v>
      </c>
      <c r="E29" s="6" t="s">
        <v>107</v>
      </c>
      <c r="F29" s="6"/>
      <c r="G29" s="6"/>
      <c r="H29" s="14" t="s">
        <v>108</v>
      </c>
      <c r="I29" s="9" t="s">
        <v>21</v>
      </c>
      <c r="J29" s="11"/>
    </row>
    <row r="30" ht="195" spans="1:10">
      <c r="A30" s="5" t="s">
        <v>109</v>
      </c>
      <c r="B30" s="5" t="s">
        <v>9</v>
      </c>
      <c r="C30" s="5" t="s">
        <v>94</v>
      </c>
      <c r="D30" s="7" t="s">
        <v>110</v>
      </c>
      <c r="E30" s="6" t="s">
        <v>111</v>
      </c>
      <c r="F30" s="6"/>
      <c r="G30" s="6"/>
      <c r="H30" s="14"/>
      <c r="I30" s="9" t="s">
        <v>21</v>
      </c>
      <c r="J30" s="11"/>
    </row>
    <row r="31" ht="75" spans="1:10">
      <c r="A31" s="5" t="s">
        <v>112</v>
      </c>
      <c r="B31" s="5" t="s">
        <v>9</v>
      </c>
      <c r="C31" s="5" t="s">
        <v>94</v>
      </c>
      <c r="D31" s="15" t="s">
        <v>113</v>
      </c>
      <c r="E31" s="6"/>
      <c r="F31" s="6"/>
      <c r="G31" s="6" t="s">
        <v>114</v>
      </c>
      <c r="H31" s="14" t="s">
        <v>115</v>
      </c>
      <c r="I31" s="10" t="s">
        <v>116</v>
      </c>
    </row>
    <row r="32" ht="28.5" spans="1:10">
      <c r="A32" s="5" t="s">
        <v>117</v>
      </c>
      <c r="B32" s="5" t="s">
        <v>9</v>
      </c>
      <c r="C32" s="5" t="s">
        <v>118</v>
      </c>
      <c r="D32" s="7" t="s">
        <v>118</v>
      </c>
      <c r="E32" s="6"/>
      <c r="F32" s="6"/>
      <c r="G32" s="6" t="s">
        <v>119</v>
      </c>
      <c r="H32" s="14"/>
      <c r="I32" s="8" t="s">
        <v>17</v>
      </c>
    </row>
    <row r="33" ht="70.15" spans="1:9">
      <c r="A33" s="5" t="s">
        <v>120</v>
      </c>
      <c r="B33" s="5" t="s">
        <v>9</v>
      </c>
      <c r="C33" s="5" t="s">
        <v>118</v>
      </c>
      <c r="D33" s="7" t="s">
        <v>121</v>
      </c>
      <c r="E33" s="6"/>
      <c r="F33" s="6"/>
      <c r="G33" s="6" t="s">
        <v>122</v>
      </c>
      <c r="H33" s="14"/>
      <c r="I33" s="8" t="s">
        <v>17</v>
      </c>
    </row>
    <row r="34" ht="27.75" spans="1:9">
      <c r="A34" s="5" t="s">
        <v>123</v>
      </c>
      <c r="B34" s="5" t="s">
        <v>9</v>
      </c>
      <c r="C34" s="5" t="s">
        <v>124</v>
      </c>
      <c r="D34" s="7" t="s">
        <v>125</v>
      </c>
      <c r="E34" s="6"/>
      <c r="F34" s="6"/>
      <c r="G34" s="6"/>
      <c r="H34" s="14"/>
      <c r="I34" s="8" t="s">
        <v>17</v>
      </c>
    </row>
    <row r="35" ht="42.4" spans="1:9">
      <c r="A35" s="5" t="s">
        <v>126</v>
      </c>
      <c r="B35" s="5" t="s">
        <v>9</v>
      </c>
      <c r="C35" s="5" t="s">
        <v>124</v>
      </c>
      <c r="D35" s="7" t="s">
        <v>127</v>
      </c>
      <c r="E35" s="6" t="s">
        <v>128</v>
      </c>
      <c r="F35" s="6"/>
      <c r="G35" s="6" t="s">
        <v>129</v>
      </c>
      <c r="H35" s="14"/>
      <c r="I35" s="8" t="s">
        <v>17</v>
      </c>
    </row>
    <row r="36" ht="111.75" spans="1:9">
      <c r="A36" s="5" t="s">
        <v>130</v>
      </c>
      <c r="B36" s="5" t="s">
        <v>9</v>
      </c>
      <c r="C36" s="5" t="s">
        <v>124</v>
      </c>
      <c r="D36" s="15" t="s">
        <v>131</v>
      </c>
      <c r="E36" s="6" t="s">
        <v>132</v>
      </c>
      <c r="F36" s="6"/>
      <c r="G36" s="6" t="s">
        <v>133</v>
      </c>
      <c r="H36" s="14"/>
      <c r="I36" s="10" t="s">
        <v>98</v>
      </c>
    </row>
    <row r="37" ht="42.4" spans="1:9">
      <c r="A37" s="5" t="s">
        <v>134</v>
      </c>
      <c r="B37" s="5" t="s">
        <v>9</v>
      </c>
      <c r="C37" s="5" t="s">
        <v>124</v>
      </c>
      <c r="D37" s="7" t="s">
        <v>135</v>
      </c>
      <c r="E37" s="6" t="s">
        <v>136</v>
      </c>
      <c r="F37" s="6"/>
      <c r="G37" s="6" t="s">
        <v>137</v>
      </c>
      <c r="H37" s="14"/>
      <c r="I37" s="10" t="s">
        <v>116</v>
      </c>
    </row>
    <row r="38" ht="152.65" spans="1:9">
      <c r="A38" s="5" t="s">
        <v>138</v>
      </c>
      <c r="B38" s="5" t="s">
        <v>139</v>
      </c>
      <c r="C38" s="5"/>
      <c r="D38" s="7" t="s">
        <v>140</v>
      </c>
      <c r="E38" s="6" t="s">
        <v>141</v>
      </c>
      <c r="F38" s="6"/>
      <c r="G38" s="6"/>
      <c r="H38" s="14"/>
      <c r="I38" s="14"/>
    </row>
    <row r="39" ht="305.65" spans="1:9">
      <c r="A39" s="5" t="s">
        <v>142</v>
      </c>
      <c r="B39" s="5" t="s">
        <v>139</v>
      </c>
      <c r="C39" s="5"/>
      <c r="D39" s="7" t="s">
        <v>143</v>
      </c>
      <c r="E39" s="6" t="s">
        <v>144</v>
      </c>
      <c r="F39" s="6"/>
      <c r="G39" s="6"/>
      <c r="H39" s="14"/>
      <c r="I39" s="14"/>
    </row>
    <row r="40" ht="125.65" spans="1:9">
      <c r="A40" s="5" t="s">
        <v>145</v>
      </c>
      <c r="B40" s="5" t="s">
        <v>139</v>
      </c>
      <c r="C40" s="5"/>
      <c r="D40" s="7" t="s">
        <v>146</v>
      </c>
      <c r="E40" s="6" t="s">
        <v>147</v>
      </c>
      <c r="F40" s="6"/>
      <c r="G40" s="6"/>
      <c r="H40" s="14"/>
      <c r="I40" s="14"/>
    </row>
    <row r="41" ht="42.4" spans="1:9">
      <c r="A41" s="5" t="s">
        <v>148</v>
      </c>
      <c r="B41" s="5" t="s">
        <v>149</v>
      </c>
      <c r="C41" s="5"/>
      <c r="D41" s="7" t="s">
        <v>150</v>
      </c>
      <c r="E41" s="6" t="s">
        <v>151</v>
      </c>
      <c r="F41" s="6"/>
      <c r="G41" s="6"/>
      <c r="H41" s="14"/>
      <c r="I41" s="14"/>
    </row>
    <row r="42" ht="28.5" spans="1:9">
      <c r="A42" s="5" t="s">
        <v>152</v>
      </c>
      <c r="B42" s="5" t="s">
        <v>153</v>
      </c>
      <c r="C42" s="5"/>
      <c r="D42" s="7" t="s">
        <v>154</v>
      </c>
      <c r="E42" s="6" t="s">
        <v>155</v>
      </c>
      <c r="F42" s="6"/>
      <c r="G42" s="6"/>
      <c r="H42" s="14"/>
      <c r="I42" s="14"/>
    </row>
    <row r="43" ht="54" customHeight="1" spans="1:9">
      <c r="A43" s="7" t="s">
        <v>156</v>
      </c>
      <c r="B43" s="5" t="s">
        <v>153</v>
      </c>
      <c r="C43" s="7"/>
      <c r="D43" s="7" t="s">
        <v>157</v>
      </c>
      <c r="E43" s="16" t="s">
        <v>158</v>
      </c>
      <c r="F43" s="16"/>
      <c r="G43" s="6" t="s">
        <v>159</v>
      </c>
      <c r="H43" s="14"/>
      <c r="I43" s="14"/>
    </row>
    <row r="56" spans="1:3">
      <c r="A56" s="17"/>
      <c r="B56" s="17"/>
      <c r="C56" s="17"/>
    </row>
    <row r="74" spans="1:3">
      <c r="A74" s="17"/>
      <c r="B74" s="17"/>
      <c r="C74" s="17"/>
    </row>
  </sheetData>
  <autoFilter xmlns:etc="http://www.wps.cn/officeDocument/2017/etCustomData" ref="I1:I74" etc:filterBottomFollowUsedRange="0">
    <extLst/>
  </autoFilter>
  <pageMargins left="0.75" right="0.75" top="1" bottom="1" header="0.5" footer="0.5"/>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EAD45180-E3C9-4ACB-9F82-219E2D683085}">
  <ds:schemaRefs/>
</ds:datastoreItem>
</file>

<file path=customXml/itemProps2.xml><?xml version="1.0" encoding="utf-8"?>
<ds:datastoreItem xmlns:ds="http://schemas.openxmlformats.org/officeDocument/2006/customXml" ds:itemID="{194929E5-1F98-417C-8FC5-4B033901596A}">
  <ds:schemaRefs/>
</ds:datastoreItem>
</file>

<file path=customXml/itemProps3.xml><?xml version="1.0" encoding="utf-8"?>
<ds:datastoreItem xmlns:ds="http://schemas.openxmlformats.org/officeDocument/2006/customXml" ds:itemID="{7F45FE1F-8E73-44A0-A1BD-492317202793}">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11501</dc:creator>
  <cp:lastModifiedBy>林友沐</cp:lastModifiedBy>
  <dcterms:created xsi:type="dcterms:W3CDTF">2026-05-13T12:52:00Z</dcterms:created>
  <dcterms:modified xsi:type="dcterms:W3CDTF">2026-05-28T08:23:55Z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8374575E4EFD41BEA478A48B082CFA31_13</vt:lpwstr>
  </property>
  <property fmtid="{D5CDD505-2E9C-101B-9397-08002B2CF9AE}" pid="3" name="KSOProductBuildVer">
    <vt:lpwstr>2052-12.1.0.26375</vt:lpwstr>
  </property>
  <property fmtid="{D5CDD505-2E9C-101B-9397-08002B2CF9AE}" pid="4" name="CalculationRule">
    <vt:i4>1</vt:i4>
  </property>
  <property fmtid="{D5CDD505-2E9C-101B-9397-08002B2CF9AE}" pid="5" name="ContentTypeId">
    <vt:lpwstr>0x010100EE3175921CC4094EAB41B718487AA9D4</vt:lpwstr>
  </property>
</Properties>
</file>