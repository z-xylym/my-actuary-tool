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Sheet1!$E$1:$E$137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<sst xmlns="http://schemas.openxmlformats.org/spreadsheetml/2006/main" count="745" uniqueCount="201">
  <si>
    <t>公司类型</t>
  </si>
  <si>
    <t>公司</t>
  </si>
  <si>
    <t>类别</t>
  </si>
  <si>
    <t>字段名</t>
  </si>
  <si>
    <t>字段类型</t>
  </si>
  <si>
    <t>2024YE
（百万元人民币）</t>
  </si>
  <si>
    <t>2025YE
（百万元人民币）</t>
  </si>
  <si>
    <t>人工校验规则</t>
  </si>
  <si>
    <t>注释</t>
  </si>
  <si>
    <t>计算规则</t>
  </si>
  <si>
    <t>上市</t>
  </si>
  <si>
    <t>新华保险</t>
  </si>
  <si>
    <t>股东权益变动表</t>
  </si>
  <si>
    <t>期初股东权益</t>
  </si>
  <si>
    <t>输入</t>
  </si>
  <si>
    <t>期末股东权益</t>
  </si>
  <si>
    <t>综合收益总额</t>
  </si>
  <si>
    <t>计算</t>
  </si>
  <si>
    <t>净利润+其他综合收益</t>
  </si>
  <si>
    <t>净利润</t>
  </si>
  <si>
    <t>其他综合收益</t>
  </si>
  <si>
    <t>股东权益分配</t>
  </si>
  <si>
    <t>所有者权益变动表里面：行名为：利润分配，列名为：股东权益合计</t>
  </si>
  <si>
    <t>其他权益变动</t>
  </si>
  <si>
    <t>期末股东权益-期初股东权益-综合收益总额-股东权益分配</t>
  </si>
  <si>
    <t>合同服务边际</t>
  </si>
  <si>
    <t>CSM期初余额</t>
  </si>
  <si>
    <t>新业务CSM（集团口径）</t>
  </si>
  <si>
    <t>新业务CSM（寿险+健康险）</t>
  </si>
  <si>
    <t>CSM计息</t>
  </si>
  <si>
    <t>未采用保费分配法计量的合同表中的合同服务边际利息</t>
  </si>
  <si>
    <t>CSM调整</t>
  </si>
  <si>
    <t>合同服务边际调整</t>
  </si>
  <si>
    <t>CSM摊销</t>
  </si>
  <si>
    <t>合同服务边际摊销</t>
  </si>
  <si>
    <t>CSM其他</t>
  </si>
  <si>
    <t>合同服务边际其他</t>
  </si>
  <si>
    <t>CSM期末余额</t>
  </si>
  <si>
    <t>合同服务边际期末余额</t>
  </si>
  <si>
    <t>综合净资产</t>
  </si>
  <si>
    <t>期末股东权益+CSM期末余额*0.75</t>
  </si>
  <si>
    <t>I17新业务表</t>
  </si>
  <si>
    <t>新业务RA</t>
  </si>
  <si>
    <t>新业务相关的内容取自：当期初始确认的未采用保费分配法计量的保险合同对资产负债表影响的分析如下表中</t>
  </si>
  <si>
    <t>新业务亏损合同（LC）——非PAA</t>
  </si>
  <si>
    <t>注意一定是小于0</t>
  </si>
  <si>
    <t>新业务未来现金流入现值</t>
  </si>
  <si>
    <t>新业务未来现金流入现值（盈利）+新业务未来现金流入现值（亏损）</t>
  </si>
  <si>
    <t>新业务未来现金流入现值（盈利）</t>
  </si>
  <si>
    <t>新业务未来现金流入现值（亏损）</t>
  </si>
  <si>
    <t>保险服务收入</t>
  </si>
  <si>
    <t>保险服务收入合计</t>
  </si>
  <si>
    <t>未采用保费分配法计量的保险合同收入+采用保费分配法计量的保险合同收入</t>
  </si>
  <si>
    <t>未采用保费分配法计量的保险合同保险服务收入</t>
  </si>
  <si>
    <t>合同服务边际的摊销</t>
  </si>
  <si>
    <t>非金融风险调整的变动</t>
  </si>
  <si>
    <t>预计当期发生的保险服务费用</t>
  </si>
  <si>
    <t>与当期服务或过去服务相关得保费经验调整</t>
  </si>
  <si>
    <t>其他收入调整</t>
  </si>
  <si>
    <t>保险获取现金流的摊销（保险服务收入）</t>
  </si>
  <si>
    <t>采用保费分配法计量的保险合同保险服务收入</t>
  </si>
  <si>
    <t>保险服务费用</t>
  </si>
  <si>
    <t>保险服务费用合计</t>
  </si>
  <si>
    <t>未采用保费分配法计量的保险合同费用+采用保费分配法计量的保险合同费用</t>
  </si>
  <si>
    <t>未采用保费分配法计量的保险合同保险服务费用</t>
  </si>
  <si>
    <t>保险获取现金流的摊销（保险服务费用）</t>
  </si>
  <si>
    <t>亏损部分的确认及转回</t>
  </si>
  <si>
    <t>当期发生的赔款及其他相关费用</t>
  </si>
  <si>
    <t>已发生赔款负债相关的履约现金流量变动</t>
  </si>
  <si>
    <t>采用保费分配法计量的保险合同保险服务费用</t>
  </si>
  <si>
    <t>采用保费分配法计量的保险合同保险业绩</t>
  </si>
  <si>
    <t>利润表</t>
  </si>
  <si>
    <t>税前利润总额</t>
  </si>
  <si>
    <t>注：一定是个负数</t>
  </si>
  <si>
    <t>分出保费的分摊</t>
  </si>
  <si>
    <t>减 ：摊回保险服务费用</t>
  </si>
  <si>
    <t>提取保费准备金</t>
  </si>
  <si>
    <t>保险利润</t>
  </si>
  <si>
    <t>保险服务收入+保险服务费用+分出保费的分摊+减 ：摊回保险服务费用+提取保费准备金</t>
  </si>
  <si>
    <t>银行业务利息净收入</t>
  </si>
  <si>
    <t>银行与非银行直接合并叫利息收入</t>
  </si>
  <si>
    <t>非银行业务利息收入</t>
  </si>
  <si>
    <t>利息收入</t>
  </si>
  <si>
    <t>投资收益</t>
  </si>
  <si>
    <t>公允价值变动损益</t>
  </si>
  <si>
    <t>汇兑损益</t>
  </si>
  <si>
    <t>承保财务损益</t>
  </si>
  <si>
    <t>减 ：分出再保险财务损益</t>
  </si>
  <si>
    <t>利息支出</t>
  </si>
  <si>
    <t>其他资产减值损失</t>
  </si>
  <si>
    <t>信用减值损失</t>
  </si>
  <si>
    <t>投资利润</t>
  </si>
  <si>
    <t>银行业务利息净收入+非银行业务利息收入+利息收入+投资收益+公允价值变动损益+汇兑损益+承保财务损益+减 ：分出再保险财务损益+利息支出+其他资产减值损失+信用减值损失</t>
  </si>
  <si>
    <t>非保险业务手续费及佣金净收入</t>
  </si>
  <si>
    <t>其他业务收入</t>
  </si>
  <si>
    <t>资产处置损益</t>
  </si>
  <si>
    <t>其他收益</t>
  </si>
  <si>
    <t>税金及附加</t>
  </si>
  <si>
    <t>业务及管理费</t>
  </si>
  <si>
    <t>其他业务成本</t>
  </si>
  <si>
    <t>加 ：营业外收入</t>
  </si>
  <si>
    <t>减 ：营业外支出</t>
  </si>
  <si>
    <t>其他利润</t>
  </si>
  <si>
    <t>非保险业务手续费及佣金净收入+其他业务收入+资产处置损益+其他收益+税金及附加+业务及管理费+加 ：营业外收入+减 ：营业外支出+其他业务成本</t>
  </si>
  <si>
    <t>可转损益的保险合同金融变动</t>
  </si>
  <si>
    <t>可转损益的分出再保险合同金融变动</t>
  </si>
  <si>
    <t>可转损益的负债OCI</t>
  </si>
  <si>
    <t>可转损益的保险合同金融变动+可转损益的分出再保险合同金融变动</t>
  </si>
  <si>
    <t xml:space="preserve">以公允价值计量且其变动计入其他综合收益的债务工具公允价值变动                                                                                                     </t>
  </si>
  <si>
    <t>其他债权投资公允价值变动</t>
  </si>
  <si>
    <t>以公允价值计量且其变动计入其他综合收益的债务工具信用减值准备</t>
  </si>
  <si>
    <t>其他债权投资信用损失准备</t>
  </si>
  <si>
    <t>FVOCI债券公允价值</t>
  </si>
  <si>
    <t>以公允价值计量且其变动计入其他综合收益的债务工具公允价值变动+以公允价值计量且其变动计入其他综合收益的债务工具信用减值准备</t>
  </si>
  <si>
    <t>可转损益OCI合计</t>
  </si>
  <si>
    <t>可转损益的负债OCI+FVOCI债券公允价值</t>
  </si>
  <si>
    <t>不可转损益的负债OCI</t>
  </si>
  <si>
    <t>不能转损益的保险合同金融变动</t>
  </si>
  <si>
    <t>FVOCI股权</t>
  </si>
  <si>
    <t>不能重分类进损益的其他综合收益其他权益工具投资公允价值变动</t>
  </si>
  <si>
    <t>不可转损益OCI合计</t>
  </si>
  <si>
    <t>不可转损益的负债OCI+FVOCI股权</t>
  </si>
  <si>
    <t>再保净损益</t>
  </si>
  <si>
    <t>分出保费的分摊+减 ：摊回保险服务费用</t>
  </si>
  <si>
    <t>净投资回报</t>
  </si>
  <si>
    <t>利息收入+投资收益+公允价值变动损益 +汇兑损益+利息支出+信用减值损失+其他资产减值损失</t>
  </si>
  <si>
    <t>分出再保险财务损益</t>
  </si>
  <si>
    <t>OCI其他</t>
  </si>
  <si>
    <t>综合收益总额-净利润-可转损益OCI合计-不可转损益OCI合计</t>
  </si>
  <si>
    <t>资产负债表</t>
  </si>
  <si>
    <t>货币资金</t>
  </si>
  <si>
    <t>定期存款</t>
  </si>
  <si>
    <t>现金及流动性工具</t>
  </si>
  <si>
    <t>货币资金+定期存款</t>
  </si>
  <si>
    <t>长期股权投资</t>
  </si>
  <si>
    <t>投资性房地产</t>
  </si>
  <si>
    <t>FVTPL</t>
  </si>
  <si>
    <t>交易性金融资产/  以公允价值计量且其变动计入当期损益的金融资产</t>
  </si>
  <si>
    <t>AC</t>
  </si>
  <si>
    <t>债权投资</t>
  </si>
  <si>
    <t>FVOCI</t>
  </si>
  <si>
    <t>其他债权投资</t>
  </si>
  <si>
    <t>指定FVOCI</t>
  </si>
  <si>
    <t>其他权益工具投资</t>
  </si>
  <si>
    <t>股东权益合计</t>
  </si>
  <si>
    <t>总资产</t>
  </si>
  <si>
    <t>资产总计</t>
  </si>
  <si>
    <t>其他披露信息</t>
  </si>
  <si>
    <t>折现率假设</t>
  </si>
  <si>
    <t>1.61-4.75%</t>
  </si>
  <si>
    <t>1.70%-4.80%</t>
  </si>
  <si>
    <t>非金融风险的置信水平</t>
  </si>
  <si>
    <t>1年及1年以内合同服务边际</t>
  </si>
  <si>
    <t>1-5年合同服务边际</t>
  </si>
  <si>
    <t>5-10年合同服务边际</t>
  </si>
  <si>
    <t>10-20年合同服务边际</t>
  </si>
  <si>
    <t>20年合同服务边际</t>
  </si>
  <si>
    <t>获取费用</t>
  </si>
  <si>
    <t>当期发生的保险获取现金流量</t>
  </si>
  <si>
    <t>维持费用</t>
  </si>
  <si>
    <t>当期发生的其他保险履约现金流</t>
  </si>
  <si>
    <t>非履约费用</t>
  </si>
  <si>
    <t>职工薪酬</t>
  </si>
  <si>
    <t>物业及设备支出</t>
  </si>
  <si>
    <t>业务投入及监管费用支出</t>
  </si>
  <si>
    <t>行政办公支出</t>
  </si>
  <si>
    <t>其他支出</t>
  </si>
  <si>
    <t>保险合同负债</t>
  </si>
  <si>
    <t>BEL期初余额</t>
  </si>
  <si>
    <t>年初的保险合同负债净额中的未来现金流量现值（BEL）</t>
  </si>
  <si>
    <t>BEL期末余额</t>
  </si>
  <si>
    <t>年末的保险合同负债净额中的未来现金流量现值</t>
  </si>
  <si>
    <t>RA期初余额</t>
  </si>
  <si>
    <t>年初的保险合同负债净额中的非金融风险调整（RA）</t>
  </si>
  <si>
    <t>RA期末余额</t>
  </si>
  <si>
    <t>年末的保险合同负债净额中的非金融风险调整</t>
  </si>
  <si>
    <t>期初保险合同负债总额</t>
  </si>
  <si>
    <t>年初的保险合同负债净额中的合计</t>
  </si>
  <si>
    <t>期末保险合同负债总额</t>
  </si>
  <si>
    <t>年末的保险合同负债净额中的合计</t>
  </si>
  <si>
    <t>LRC非亏损部分期初余额（非PAA）</t>
  </si>
  <si>
    <t>未到期责任负债=LRC，未采用保费分配法=非PAA</t>
  </si>
  <si>
    <t>LRC亏损部分期初余额（非PAA）</t>
  </si>
  <si>
    <t>LIC期初余额（非PAA）</t>
  </si>
  <si>
    <t>已发生赔款负债=LIC</t>
  </si>
  <si>
    <t>非PAA期初余额合计</t>
  </si>
  <si>
    <t>LRC非亏损部分期末余额（非PAA）</t>
  </si>
  <si>
    <t>LRC亏损部分期末余额（非PAA）</t>
  </si>
  <si>
    <t>LIC期末余额（非PAA）</t>
  </si>
  <si>
    <t>非PAA期末余额合计</t>
  </si>
  <si>
    <t>LRC非亏损部分期初余额（PAA）</t>
  </si>
  <si>
    <t>采用保费分配法=PAA</t>
  </si>
  <si>
    <t>LRC亏损部分期初余额（PAA）</t>
  </si>
  <si>
    <t>LIC期初BEL余额（PAA）</t>
  </si>
  <si>
    <t>LIC期初RA余额（PAA）</t>
  </si>
  <si>
    <t>PAA期初余额合计</t>
  </si>
  <si>
    <t>LRC非亏损部分期末余额（PAA）</t>
  </si>
  <si>
    <t>LRC亏损部分期末余额（PAA）</t>
  </si>
  <si>
    <t>LIC期末BEL余额（PAA）</t>
  </si>
  <si>
    <t>LIC期末RA余额（PAA）</t>
  </si>
  <si>
    <t>PAA期末余额合计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</si>
</sst>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_);_(* \(#,##0\);_(* &quot;-&quot;??_);_(@_)"/>
  </numFmts>
  <fonts count="31">
    <font>
      <sz val="10"/>
      <color theme="1"/>
      <name val="Arial"/>
      <charset val="134"/>
    </font>
    <font>
      <sz val="10"/>
      <color theme="3" tint="0.499984740745262"/>
      <name val="微软雅黑"/>
      <charset val="134"/>
    </font>
    <font>
      <sz val="10"/>
      <color rgb="FF000000"/>
      <name val="微软雅黑"/>
      <charset val="134"/>
    </font>
    <font>
      <sz val="10"/>
      <name val="微软雅黑"/>
      <charset val="134"/>
    </font>
    <font>
      <sz val="10"/>
      <color theme="1"/>
      <name val="微软雅黑"/>
      <charset val="134"/>
    </font>
    <font>
      <sz val="11"/>
      <color theme="1"/>
      <name val="微软雅黑"/>
      <charset val="134"/>
    </font>
    <font>
      <sz val="10"/>
      <color rgb="FFFFFFFF"/>
      <name val="微软雅黑"/>
      <charset val="134"/>
    </font>
    <font>
      <sz val="10"/>
      <color rgb="FF7030A0"/>
      <name val="微软雅黑"/>
      <charset val="134"/>
    </font>
    <font>
      <sz val="10"/>
      <color theme="1"/>
      <name val="宋体"/>
      <charset val="134"/>
    </font>
    <font>
      <sz val="10"/>
      <color indexed="63"/>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s>
  <fills count="37">
    <fill>
      <patternFill patternType="none"/>
    </fill>
    <fill>
      <patternFill patternType="gray125"/>
    </fill>
    <fill>
      <patternFill patternType="solid">
        <fgColor rgb="FF333333"/>
        <bgColor indexed="64"/>
      </patternFill>
    </fill>
    <fill>
      <patternFill patternType="solid">
        <fgColor rgb="FFCCCCFF"/>
        <bgColor indexed="64"/>
      </patternFill>
    </fill>
    <fill>
      <patternFill patternType="solid">
        <fgColor theme="3" tint="0.899990844447157"/>
        <bgColor indexed="64"/>
      </patternFill>
    </fill>
    <fill>
      <patternFill patternType="solid">
        <fgColor theme="0" tint="-0.149998474074526"/>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0D0D0"/>
      </left>
      <right style="thin">
        <color rgb="FFD0D0D0"/>
      </right>
      <top style="thin">
        <color rgb="FFD0D0D0"/>
      </top>
      <bottom style="thin">
        <color rgb="FFD0D0D0"/>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44" fontId="10" fillId="0" borderId="0" applyFont="0" applyFill="0" applyBorder="0" applyAlignment="0" applyProtection="0">
      <alignment vertical="center"/>
    </xf>
    <xf numFmtId="9" fontId="0" fillId="0" borderId="0" applyFont="0" applyFill="0" applyBorder="0" applyAlignment="0" applyProtection="0"/>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8" borderId="6" applyNumberFormat="0" applyAlignment="0" applyProtection="0">
      <alignment vertical="center"/>
    </xf>
    <xf numFmtId="0" fontId="20" fillId="9" borderId="7" applyNumberFormat="0" applyAlignment="0" applyProtection="0">
      <alignment vertical="center"/>
    </xf>
    <xf numFmtId="0" fontId="21" fillId="9" borderId="6" applyNumberFormat="0" applyAlignment="0" applyProtection="0">
      <alignment vertical="center"/>
    </xf>
    <xf numFmtId="0" fontId="22" fillId="10"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6"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176" fontId="30" fillId="0" borderId="0" applyBorder="0" applyAlignment="0" applyProtection="0"/>
  </cellStyleXfs>
  <cellXfs count="35">
    <xf numFmtId="0" fontId="0" fillId="0" borderId="0" xfId="0"/>
    <xf numFmtId="0" fontId="0" fillId="0" borderId="0" xfId="0" applyFont="1" applyFill="1" applyAlignment="1"/>
    <xf numFmtId="0" fontId="1" fillId="0" borderId="0" xfId="0" applyFont="1"/>
    <xf numFmtId="0" fontId="2" fillId="0" borderId="0" xfId="0" applyFont="1"/>
    <xf numFmtId="0" fontId="3" fillId="0" borderId="0" xfId="0" applyFont="1"/>
    <xf numFmtId="0" fontId="4" fillId="0" borderId="0" xfId="0" applyFont="1" applyFill="1" applyAlignment="1"/>
    <xf numFmtId="0" fontId="5" fillId="0" borderId="0" xfId="0" applyFont="1" applyFill="1" applyAlignment="1"/>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7" fillId="3" borderId="0" xfId="0" applyFont="1" applyFill="1" applyAlignment="1">
      <alignment horizontal="center" vertical="center"/>
    </xf>
    <xf numFmtId="0" fontId="0" fillId="0" borderId="0" xfId="0" applyFont="1"/>
    <xf numFmtId="0" fontId="8" fillId="0" borderId="0" xfId="0" applyFont="1"/>
    <xf numFmtId="0" fontId="1" fillId="0" borderId="1" xfId="0" applyFont="1" applyBorder="1" applyAlignment="1">
      <alignment horizontal="left" vertical="center"/>
    </xf>
    <xf numFmtId="0" fontId="3" fillId="0" borderId="1" xfId="0" applyFont="1" applyBorder="1" applyAlignment="1">
      <alignment horizontal="left" vertical="center"/>
    </xf>
    <xf numFmtId="177" fontId="3" fillId="0" borderId="1" xfId="1" applyNumberFormat="1" applyFont="1" applyBorder="1" applyAlignment="1">
      <alignment horizontal="right" vertical="center"/>
    </xf>
    <xf numFmtId="0" fontId="2" fillId="0" borderId="0" xfId="0" applyFont="1" applyFill="1" applyAlignment="1"/>
    <xf numFmtId="0" fontId="7" fillId="0" borderId="1" xfId="0" applyFont="1" applyFill="1" applyBorder="1" applyAlignment="1">
      <alignment horizontal="left" vertical="center"/>
    </xf>
    <xf numFmtId="0" fontId="3" fillId="4" borderId="1" xfId="0" applyFont="1" applyFill="1" applyBorder="1" applyAlignment="1">
      <alignment horizontal="left" vertical="center"/>
    </xf>
    <xf numFmtId="177" fontId="3" fillId="4" borderId="1" xfId="1" applyNumberFormat="1" applyFont="1" applyFill="1" applyBorder="1" applyAlignment="1">
      <alignment horizontal="right" vertical="center"/>
    </xf>
    <xf numFmtId="0" fontId="7" fillId="0" borderId="0" xfId="0" applyFont="1" applyFill="1" applyAlignment="1"/>
    <xf numFmtId="0" fontId="3" fillId="5" borderId="1" xfId="0" applyFont="1" applyFill="1" applyBorder="1" applyAlignment="1">
      <alignment horizontal="left" vertical="center"/>
    </xf>
    <xf numFmtId="177" fontId="3" fillId="5" borderId="1" xfId="1" applyNumberFormat="1" applyFont="1" applyFill="1" applyBorder="1" applyAlignment="1">
      <alignment horizontal="right" vertical="center"/>
    </xf>
    <xf numFmtId="177" fontId="0" fillId="0" borderId="0" xfId="1" applyNumberFormat="1" applyFont="1"/>
    <xf numFmtId="177" fontId="3" fillId="5" borderId="1" xfId="1" applyNumberFormat="1" applyFont="1" applyFill="1" applyBorder="1" applyAlignment="1">
      <alignment horizontal="left" vertical="center"/>
    </xf>
    <xf numFmtId="177" fontId="3" fillId="0" borderId="1" xfId="1" applyNumberFormat="1" applyFont="1" applyBorder="1" applyAlignment="1">
      <alignment horizontal="left" vertical="center"/>
    </xf>
    <xf numFmtId="177" fontId="0" fillId="0" borderId="2" xfId="1" applyNumberFormat="1" applyFont="1" applyBorder="1"/>
    <xf numFmtId="0" fontId="9" fillId="0" borderId="0" xfId="0" applyFont="1" applyAlignment="1">
      <alignment horizontal="left" vertical="center"/>
    </xf>
    <xf numFmtId="0" fontId="9" fillId="0" borderId="0" xfId="0" applyFont="1" applyAlignment="1">
      <alignment horizontal="left" vertical="top"/>
    </xf>
    <xf numFmtId="177" fontId="2" fillId="0" borderId="0" xfId="0" applyNumberFormat="1" applyFont="1" applyFill="1" applyAlignment="1"/>
    <xf numFmtId="9" fontId="3" fillId="0" borderId="1" xfId="3" applyFont="1" applyFill="1" applyBorder="1" applyAlignment="1">
      <alignment horizontal="right" vertical="center"/>
    </xf>
    <xf numFmtId="9" fontId="3" fillId="0" borderId="1" xfId="3" applyNumberFormat="1" applyFont="1" applyFill="1" applyBorder="1" applyAlignment="1">
      <alignment horizontal="right" vertical="center"/>
    </xf>
    <xf numFmtId="9" fontId="3" fillId="5" borderId="1" xfId="3" applyFont="1" applyFill="1" applyBorder="1" applyAlignment="1">
      <alignment horizontal="right" vertical="center"/>
    </xf>
    <xf numFmtId="0" fontId="3" fillId="6" borderId="1" xfId="0" applyFont="1" applyFill="1" applyBorder="1" applyAlignment="1">
      <alignment horizontal="left" vertical="center"/>
    </xf>
    <xf numFmtId="177" fontId="7" fillId="0" borderId="1" xfId="0" applyNumberFormat="1" applyFont="1" applyFill="1" applyBorder="1" applyAlignment="1">
      <alignment horizontal="left" vertical="center"/>
    </xf>
    <xf numFmtId="0" fontId="1" fillId="0" borderId="1" xfId="0"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7"/>
  <sheetViews>
    <sheetView tabSelected="1" zoomScale="57" zoomScaleNormal="57" workbookViewId="0">
      <selection activeCell="A2" sqref="A2:A137"/>
    </sheetView>
  </sheetViews>
  <sheetFormatPr defaultColWidth="9" defaultRowHeight="15"/>
  <cols>
    <col min="2" max="2" width="18.7256637168142" style="2" customWidth="1"/>
    <col min="3" max="3" width="23" style="2" customWidth="1"/>
    <col min="4" max="4" width="24.9026548672566" style="3" customWidth="1"/>
    <col min="5" max="5" width="10.7256637168142" style="2" customWidth="1"/>
    <col min="6" max="6" width="15.6371681415929" style="4" customWidth="1"/>
    <col min="7" max="7" width="15.6371681415929" style="3" customWidth="1"/>
    <col min="8" max="8" width="15.1504424778761" style="5"/>
    <col min="9" max="9" width="9" style="5"/>
    <col min="10" max="11" width="9" style="6"/>
  </cols>
  <sheetData>
    <row r="1" ht="27.75" spans="1:24">
      <c r="A1" s="7" t="s">
        <v>0</v>
      </c>
      <c r="B1" s="7" t="s">
        <v>1</v>
      </c>
      <c r="C1" s="7" t="s">
        <v>2</v>
      </c>
      <c r="D1" s="7" t="s">
        <v>3</v>
      </c>
      <c r="E1" s="7" t="s">
        <v>4</v>
      </c>
      <c r="F1" s="8" t="s">
        <v>5</v>
      </c>
      <c r="G1" s="8" t="s">
        <v>6</v>
      </c>
      <c r="H1" s="9" t="s">
        <v>7</v>
      </c>
      <c r="I1" s="9" t="s">
        <v>7</v>
      </c>
      <c r="J1" s="9" t="s">
        <v>8</v>
      </c>
      <c r="K1" s="9" t="s">
        <v>9</v>
      </c>
      <c r="Q1" s="10"/>
      <c r="R1" s="11"/>
    </row>
    <row r="2" spans="1:24">
      <c r="A2" s="11" t="s">
        <v>10</v>
      </c>
      <c r="B2" s="12" t="s">
        <v>11</v>
      </c>
      <c r="C2" s="13" t="s">
        <v>12</v>
      </c>
      <c r="D2" s="13" t="s">
        <v>13</v>
      </c>
      <c r="E2" s="13" t="s">
        <v>14</v>
      </c>
      <c r="F2" s="14">
        <v>105092</v>
      </c>
      <c r="G2" s="14">
        <v>96269</v>
      </c>
      <c r="H2" s="15"/>
      <c r="I2" s="15" t="b">
        <f>F3=G2</f>
        <v>1</v>
      </c>
      <c r="Q2" s="10"/>
      <c r="X2" s="10"/>
    </row>
    <row r="3" spans="1:24">
      <c r="A3" s="11" t="s">
        <v>10</v>
      </c>
      <c r="B3" s="12" t="s">
        <v>11</v>
      </c>
      <c r="C3" s="13" t="s">
        <v>12</v>
      </c>
      <c r="D3" s="13" t="s">
        <v>15</v>
      </c>
      <c r="E3" s="13" t="s">
        <v>14</v>
      </c>
      <c r="F3" s="14">
        <v>96269</v>
      </c>
      <c r="G3" s="14">
        <v>111578</v>
      </c>
      <c r="H3" s="16"/>
      <c r="I3" s="16"/>
      <c r="Q3" s="10"/>
      <c r="X3" s="10"/>
    </row>
    <row r="4" spans="1:24">
      <c r="A4" s="11" t="s">
        <v>10</v>
      </c>
      <c r="B4" s="12" t="s">
        <v>11</v>
      </c>
      <c r="C4" s="13" t="s">
        <v>12</v>
      </c>
      <c r="D4" s="17" t="s">
        <v>16</v>
      </c>
      <c r="E4" s="17" t="s">
        <v>17</v>
      </c>
      <c r="F4" s="18">
        <f>F5+F6</f>
        <v>-4477</v>
      </c>
      <c r="G4" s="18">
        <f>G5+G6</f>
        <v>23697</v>
      </c>
      <c r="H4" s="16"/>
      <c r="I4" s="16"/>
      <c r="K4" s="6" t="s">
        <v>18</v>
      </c>
      <c r="Q4" s="10"/>
    </row>
    <row r="5" spans="1:24">
      <c r="A5" s="11" t="s">
        <v>10</v>
      </c>
      <c r="B5" s="12" t="s">
        <v>11</v>
      </c>
      <c r="C5" s="13" t="s">
        <v>12</v>
      </c>
      <c r="D5" s="13" t="s">
        <v>19</v>
      </c>
      <c r="E5" s="13" t="s">
        <v>14</v>
      </c>
      <c r="F5" s="14">
        <v>26233</v>
      </c>
      <c r="G5" s="14">
        <v>36289</v>
      </c>
      <c r="H5" s="16"/>
      <c r="I5" s="16"/>
    </row>
    <row r="6" spans="1:24">
      <c r="A6" s="11" t="s">
        <v>10</v>
      </c>
      <c r="B6" s="12" t="s">
        <v>11</v>
      </c>
      <c r="C6" s="13" t="s">
        <v>12</v>
      </c>
      <c r="D6" s="13" t="s">
        <v>20</v>
      </c>
      <c r="E6" s="13" t="s">
        <v>14</v>
      </c>
      <c r="F6" s="14">
        <v>-30710</v>
      </c>
      <c r="G6" s="14">
        <v>-12592</v>
      </c>
      <c r="H6" s="16"/>
      <c r="I6" s="16"/>
    </row>
    <row r="7" spans="1:24">
      <c r="A7" s="11" t="s">
        <v>10</v>
      </c>
      <c r="B7" s="12" t="s">
        <v>11</v>
      </c>
      <c r="C7" s="13" t="s">
        <v>12</v>
      </c>
      <c r="D7" s="13" t="s">
        <v>21</v>
      </c>
      <c r="E7" s="13" t="s">
        <v>14</v>
      </c>
      <c r="F7" s="14">
        <v>-4337</v>
      </c>
      <c r="G7" s="14">
        <v>-8298</v>
      </c>
      <c r="H7" s="16"/>
      <c r="I7" s="16"/>
      <c r="J7" s="6" t="s">
        <v>22</v>
      </c>
    </row>
    <row r="8" spans="1:24">
      <c r="A8" s="11" t="s">
        <v>10</v>
      </c>
      <c r="B8" s="12" t="s">
        <v>11</v>
      </c>
      <c r="C8" s="13" t="s">
        <v>12</v>
      </c>
      <c r="D8" s="17" t="s">
        <v>23</v>
      </c>
      <c r="E8" s="17" t="s">
        <v>17</v>
      </c>
      <c r="F8" s="18">
        <f>F3-F2-F7-F4</f>
        <v>-9</v>
      </c>
      <c r="G8" s="18">
        <f>G3-G2-G7-G4</f>
        <v>-90</v>
      </c>
      <c r="H8" s="16"/>
      <c r="I8" s="16"/>
      <c r="K8" s="6" t="s">
        <v>24</v>
      </c>
    </row>
    <row r="9" spans="1:24">
      <c r="A9" s="11" t="s">
        <v>10</v>
      </c>
      <c r="B9" s="12" t="s">
        <v>11</v>
      </c>
      <c r="C9" s="13" t="s">
        <v>25</v>
      </c>
      <c r="D9" s="13" t="s">
        <v>26</v>
      </c>
      <c r="E9" s="13" t="s">
        <v>14</v>
      </c>
      <c r="F9" s="14">
        <v>169004</v>
      </c>
      <c r="G9" s="14">
        <v>175867</v>
      </c>
      <c r="H9" s="15"/>
      <c r="I9" s="15" t="b">
        <f>G9=F16</f>
        <v>1</v>
      </c>
    </row>
    <row r="10" spans="1:24">
      <c r="A10" s="11" t="s">
        <v>10</v>
      </c>
      <c r="B10" s="12" t="s">
        <v>11</v>
      </c>
      <c r="C10" s="13" t="s">
        <v>25</v>
      </c>
      <c r="D10" s="13" t="s">
        <v>27</v>
      </c>
      <c r="E10" s="13" t="s">
        <v>14</v>
      </c>
      <c r="F10" s="14">
        <v>10997</v>
      </c>
      <c r="G10" s="14">
        <v>11875</v>
      </c>
      <c r="H10" s="16"/>
      <c r="I10" s="16"/>
    </row>
    <row r="11" spans="1:24">
      <c r="A11" s="11" t="s">
        <v>10</v>
      </c>
      <c r="B11" s="12" t="s">
        <v>11</v>
      </c>
      <c r="C11" s="13" t="s">
        <v>25</v>
      </c>
      <c r="D11" s="13" t="s">
        <v>28</v>
      </c>
      <c r="E11" s="13" t="s">
        <v>14</v>
      </c>
      <c r="F11" s="14">
        <v>10997</v>
      </c>
      <c r="G11" s="14">
        <v>11875</v>
      </c>
      <c r="H11" s="16"/>
      <c r="I11" s="16"/>
    </row>
    <row r="12" spans="1:24">
      <c r="A12" s="11" t="s">
        <v>10</v>
      </c>
      <c r="B12" s="12" t="s">
        <v>11</v>
      </c>
      <c r="C12" s="13" t="s">
        <v>25</v>
      </c>
      <c r="D12" s="13" t="s">
        <v>29</v>
      </c>
      <c r="E12" s="13" t="s">
        <v>14</v>
      </c>
      <c r="F12" s="14">
        <v>6873</v>
      </c>
      <c r="G12" s="14">
        <v>6924</v>
      </c>
      <c r="H12" s="16"/>
      <c r="I12" s="16"/>
      <c r="J12" s="6" t="s">
        <v>30</v>
      </c>
    </row>
    <row r="13" spans="1:24">
      <c r="A13" s="11" t="s">
        <v>10</v>
      </c>
      <c r="B13" s="12" t="s">
        <v>11</v>
      </c>
      <c r="C13" s="13" t="s">
        <v>25</v>
      </c>
      <c r="D13" s="13" t="s">
        <v>31</v>
      </c>
      <c r="E13" s="13" t="s">
        <v>14</v>
      </c>
      <c r="F13" s="14">
        <v>4660</v>
      </c>
      <c r="G13" s="14">
        <v>3607</v>
      </c>
      <c r="H13" s="16"/>
      <c r="I13" s="16"/>
      <c r="J13" s="6" t="s">
        <v>32</v>
      </c>
    </row>
    <row r="14" spans="1:24">
      <c r="A14" s="11" t="s">
        <v>10</v>
      </c>
      <c r="B14" s="12" t="s">
        <v>11</v>
      </c>
      <c r="C14" s="13" t="s">
        <v>25</v>
      </c>
      <c r="D14" s="13" t="s">
        <v>33</v>
      </c>
      <c r="E14" s="13" t="s">
        <v>14</v>
      </c>
      <c r="F14" s="14">
        <v>-15667</v>
      </c>
      <c r="G14" s="14">
        <v>-16550</v>
      </c>
      <c r="H14" s="16"/>
      <c r="I14" s="16"/>
      <c r="J14" s="6" t="s">
        <v>34</v>
      </c>
    </row>
    <row r="15" spans="1:24">
      <c r="A15" s="11" t="s">
        <v>10</v>
      </c>
      <c r="B15" s="12" t="s">
        <v>11</v>
      </c>
      <c r="C15" s="13" t="s">
        <v>25</v>
      </c>
      <c r="D15" s="13" t="s">
        <v>35</v>
      </c>
      <c r="E15" s="13" t="s">
        <v>14</v>
      </c>
      <c r="F15" s="14">
        <v>0</v>
      </c>
      <c r="G15" s="14">
        <v>0</v>
      </c>
      <c r="H15" s="16"/>
      <c r="I15" s="16"/>
      <c r="J15" s="6" t="s">
        <v>36</v>
      </c>
      <c r="X15" s="10"/>
    </row>
    <row r="16" spans="1:24">
      <c r="A16" s="11" t="s">
        <v>10</v>
      </c>
      <c r="B16" s="12" t="s">
        <v>11</v>
      </c>
      <c r="C16" s="13" t="s">
        <v>25</v>
      </c>
      <c r="D16" s="13" t="s">
        <v>37</v>
      </c>
      <c r="E16" s="13" t="s">
        <v>14</v>
      </c>
      <c r="F16" s="14">
        <v>175867</v>
      </c>
      <c r="G16" s="14">
        <v>181723</v>
      </c>
      <c r="H16" s="15" t="b">
        <f>F16=SUM(F9:F15,-F11)</f>
        <v>1</v>
      </c>
      <c r="I16" s="15" t="b">
        <f>G16=SUM(G9:G15,-G11)</f>
        <v>1</v>
      </c>
      <c r="J16" s="6" t="s">
        <v>38</v>
      </c>
    </row>
    <row r="17" spans="1:24">
      <c r="A17" s="11" t="s">
        <v>10</v>
      </c>
      <c r="B17" s="12" t="s">
        <v>11</v>
      </c>
      <c r="C17" s="13" t="s">
        <v>25</v>
      </c>
      <c r="D17" s="17" t="s">
        <v>39</v>
      </c>
      <c r="E17" s="17" t="s">
        <v>17</v>
      </c>
      <c r="F17" s="18">
        <f t="shared" ref="F17:G17" si="0">F3+F16*0.75</f>
        <v>228169.25</v>
      </c>
      <c r="G17" s="18">
        <f t="shared" si="0"/>
        <v>247870.25</v>
      </c>
      <c r="H17" s="16"/>
      <c r="I17" s="16"/>
      <c r="K17" s="6" t="s">
        <v>40</v>
      </c>
    </row>
    <row r="18" spans="1:24">
      <c r="A18" s="11" t="s">
        <v>10</v>
      </c>
      <c r="B18" s="12" t="s">
        <v>11</v>
      </c>
      <c r="C18" s="13" t="s">
        <v>41</v>
      </c>
      <c r="D18" s="13" t="s">
        <v>42</v>
      </c>
      <c r="E18" s="13" t="s">
        <v>14</v>
      </c>
      <c r="F18" s="14">
        <v>1261</v>
      </c>
      <c r="G18" s="14">
        <v>1122</v>
      </c>
      <c r="H18" s="16"/>
      <c r="I18" s="16"/>
      <c r="J18" s="6" t="s">
        <v>43</v>
      </c>
    </row>
    <row r="19" spans="1:24">
      <c r="A19" s="11" t="s">
        <v>10</v>
      </c>
      <c r="B19" s="12" t="s">
        <v>11</v>
      </c>
      <c r="C19" s="13" t="s">
        <v>41</v>
      </c>
      <c r="D19" s="13" t="s">
        <v>44</v>
      </c>
      <c r="E19" s="13" t="s">
        <v>14</v>
      </c>
      <c r="F19" s="14">
        <v>-399</v>
      </c>
      <c r="G19" s="14">
        <v>-530</v>
      </c>
      <c r="H19" s="16"/>
      <c r="I19" s="19"/>
      <c r="J19" s="6" t="s">
        <v>45</v>
      </c>
      <c r="X19" s="11"/>
    </row>
    <row r="20" spans="1:24">
      <c r="A20" s="11" t="s">
        <v>10</v>
      </c>
      <c r="B20" s="12" t="s">
        <v>11</v>
      </c>
      <c r="C20" s="13" t="s">
        <v>41</v>
      </c>
      <c r="D20" s="13" t="s">
        <v>46</v>
      </c>
      <c r="E20" s="13" t="s">
        <v>14</v>
      </c>
      <c r="F20" s="14">
        <v>139372</v>
      </c>
      <c r="G20" s="14">
        <v>173709</v>
      </c>
      <c r="H20" s="15" t="b">
        <f>F20=SUM(F21:F22)</f>
        <v>1</v>
      </c>
      <c r="I20" s="15" t="b">
        <f>G20=SUM(G21:G22)</f>
        <v>1</v>
      </c>
      <c r="J20" s="6" t="s">
        <v>47</v>
      </c>
    </row>
    <row r="21" spans="1:24">
      <c r="A21" s="11" t="s">
        <v>10</v>
      </c>
      <c r="B21" s="12" t="s">
        <v>11</v>
      </c>
      <c r="C21" s="13" t="s">
        <v>41</v>
      </c>
      <c r="D21" s="13" t="s">
        <v>48</v>
      </c>
      <c r="E21" s="13" t="s">
        <v>14</v>
      </c>
      <c r="F21" s="14">
        <v>124788</v>
      </c>
      <c r="G21" s="14">
        <v>148900</v>
      </c>
      <c r="H21" s="16"/>
      <c r="I21" s="16"/>
      <c r="J21" s="6" t="s">
        <v>43</v>
      </c>
    </row>
    <row r="22" spans="1:24">
      <c r="A22" s="11" t="s">
        <v>10</v>
      </c>
      <c r="B22" s="12" t="s">
        <v>11</v>
      </c>
      <c r="C22" s="13" t="s">
        <v>41</v>
      </c>
      <c r="D22" s="13" t="s">
        <v>49</v>
      </c>
      <c r="E22" s="13" t="s">
        <v>14</v>
      </c>
      <c r="F22" s="14">
        <v>14584</v>
      </c>
      <c r="G22" s="14">
        <v>24809</v>
      </c>
      <c r="H22" s="16"/>
      <c r="I22" s="16"/>
      <c r="J22" s="6" t="s">
        <v>43</v>
      </c>
    </row>
    <row r="23" spans="1:24">
      <c r="A23" s="11" t="s">
        <v>10</v>
      </c>
      <c r="B23" s="12" t="s">
        <v>11</v>
      </c>
      <c r="C23" s="13" t="s">
        <v>50</v>
      </c>
      <c r="D23" s="13" t="s">
        <v>51</v>
      </c>
      <c r="E23" s="13" t="s">
        <v>14</v>
      </c>
      <c r="F23" s="14">
        <v>47812</v>
      </c>
      <c r="G23" s="14">
        <v>50297</v>
      </c>
      <c r="H23" s="15" t="b">
        <f>F23=SUM(F24,F31)</f>
        <v>1</v>
      </c>
      <c r="I23" s="15" t="b">
        <f>G23=SUM(G24,G31)</f>
        <v>1</v>
      </c>
      <c r="J23" s="6" t="s">
        <v>52</v>
      </c>
    </row>
    <row r="24" spans="1:24">
      <c r="A24" s="11" t="s">
        <v>10</v>
      </c>
      <c r="B24" s="12" t="s">
        <v>11</v>
      </c>
      <c r="C24" s="13" t="s">
        <v>50</v>
      </c>
      <c r="D24" s="13" t="s">
        <v>53</v>
      </c>
      <c r="E24" s="13" t="s">
        <v>14</v>
      </c>
      <c r="F24" s="14">
        <v>44126</v>
      </c>
      <c r="G24" s="14">
        <v>46629</v>
      </c>
      <c r="H24" s="15" t="b">
        <f>F24=SUM(F25:F30)</f>
        <v>1</v>
      </c>
      <c r="I24" s="15" t="b">
        <f>G24=SUM(G25:G30)</f>
        <v>1</v>
      </c>
    </row>
    <row r="25" spans="1:24">
      <c r="A25" s="11" t="s">
        <v>10</v>
      </c>
      <c r="B25" s="12" t="s">
        <v>11</v>
      </c>
      <c r="C25" s="13" t="s">
        <v>50</v>
      </c>
      <c r="D25" s="13" t="s">
        <v>54</v>
      </c>
      <c r="E25" s="13" t="s">
        <v>14</v>
      </c>
      <c r="F25" s="14">
        <v>15667</v>
      </c>
      <c r="G25" s="14">
        <v>16550</v>
      </c>
      <c r="H25" s="16"/>
      <c r="I25" s="16"/>
      <c r="X25" s="11"/>
    </row>
    <row r="26" spans="1:24">
      <c r="A26" s="11" t="s">
        <v>10</v>
      </c>
      <c r="B26" s="12" t="s">
        <v>11</v>
      </c>
      <c r="C26" s="13" t="s">
        <v>50</v>
      </c>
      <c r="D26" s="13" t="s">
        <v>55</v>
      </c>
      <c r="E26" s="13" t="s">
        <v>14</v>
      </c>
      <c r="F26" s="14">
        <v>810</v>
      </c>
      <c r="G26" s="14">
        <v>717</v>
      </c>
      <c r="H26" s="16"/>
      <c r="I26" s="16"/>
      <c r="X26" s="11"/>
    </row>
    <row r="27" spans="1:24">
      <c r="A27" s="11" t="s">
        <v>10</v>
      </c>
      <c r="B27" s="12" t="s">
        <v>11</v>
      </c>
      <c r="C27" s="13" t="s">
        <v>50</v>
      </c>
      <c r="D27" s="13" t="s">
        <v>56</v>
      </c>
      <c r="E27" s="13" t="s">
        <v>14</v>
      </c>
      <c r="F27" s="14">
        <v>18475</v>
      </c>
      <c r="G27" s="14">
        <v>20105</v>
      </c>
      <c r="H27" s="16"/>
      <c r="I27" s="16"/>
    </row>
    <row r="28" spans="1:24">
      <c r="A28" s="11" t="s">
        <v>10</v>
      </c>
      <c r="B28" s="12" t="s">
        <v>11</v>
      </c>
      <c r="C28" s="13" t="s">
        <v>50</v>
      </c>
      <c r="D28" s="20" t="s">
        <v>57</v>
      </c>
      <c r="E28" s="20" t="s">
        <v>14</v>
      </c>
      <c r="F28" s="21"/>
      <c r="G28" s="21"/>
      <c r="H28" s="16"/>
      <c r="I28" s="19"/>
    </row>
    <row r="29" spans="1:24">
      <c r="A29" s="11" t="s">
        <v>10</v>
      </c>
      <c r="B29" s="12" t="s">
        <v>11</v>
      </c>
      <c r="C29" s="13" t="s">
        <v>50</v>
      </c>
      <c r="D29" s="20" t="s">
        <v>58</v>
      </c>
      <c r="E29" s="20" t="s">
        <v>14</v>
      </c>
      <c r="F29" s="21"/>
      <c r="G29" s="21"/>
      <c r="H29" s="16"/>
      <c r="I29" s="19"/>
    </row>
    <row r="30" spans="1:24">
      <c r="A30" s="11" t="s">
        <v>10</v>
      </c>
      <c r="B30" s="12" t="s">
        <v>11</v>
      </c>
      <c r="C30" s="13" t="s">
        <v>50</v>
      </c>
      <c r="D30" s="13" t="s">
        <v>59</v>
      </c>
      <c r="E30" s="13" t="s">
        <v>14</v>
      </c>
      <c r="F30" s="14">
        <v>9174</v>
      </c>
      <c r="G30" s="14">
        <v>9257</v>
      </c>
      <c r="H30" s="16"/>
      <c r="I30" s="16"/>
      <c r="X30" s="11"/>
    </row>
    <row r="31" spans="1:24">
      <c r="A31" s="11" t="s">
        <v>10</v>
      </c>
      <c r="B31" s="12" t="s">
        <v>11</v>
      </c>
      <c r="C31" s="13" t="s">
        <v>50</v>
      </c>
      <c r="D31" s="13" t="s">
        <v>60</v>
      </c>
      <c r="E31" s="13" t="s">
        <v>14</v>
      </c>
      <c r="F31" s="14">
        <v>3686</v>
      </c>
      <c r="G31" s="14">
        <v>3668</v>
      </c>
      <c r="H31" s="16"/>
      <c r="I31" s="16"/>
    </row>
    <row r="32" spans="1:24">
      <c r="A32" s="11" t="s">
        <v>10</v>
      </c>
      <c r="B32" s="12" t="s">
        <v>11</v>
      </c>
      <c r="C32" s="13" t="s">
        <v>61</v>
      </c>
      <c r="D32" s="13" t="s">
        <v>62</v>
      </c>
      <c r="E32" s="13" t="s">
        <v>14</v>
      </c>
      <c r="F32" s="14">
        <v>31575</v>
      </c>
      <c r="G32" s="14">
        <v>31748</v>
      </c>
      <c r="H32" s="15" t="b">
        <f>F32=SUM(F33,F38)</f>
        <v>1</v>
      </c>
      <c r="I32" s="15" t="b">
        <f>G32=SUM(G33,G38)</f>
        <v>1</v>
      </c>
      <c r="J32" s="6" t="s">
        <v>63</v>
      </c>
      <c r="X32" s="11"/>
    </row>
    <row r="33" spans="1:24">
      <c r="A33" s="11" t="s">
        <v>10</v>
      </c>
      <c r="B33" s="12" t="s">
        <v>11</v>
      </c>
      <c r="C33" s="13" t="s">
        <v>61</v>
      </c>
      <c r="D33" s="13" t="s">
        <v>64</v>
      </c>
      <c r="E33" s="13" t="s">
        <v>14</v>
      </c>
      <c r="F33" s="14">
        <v>27185</v>
      </c>
      <c r="G33" s="14">
        <v>27931</v>
      </c>
      <c r="H33" s="15" t="b">
        <f>F33=SUM(F34:F37)</f>
        <v>1</v>
      </c>
      <c r="I33" s="15" t="b">
        <f>G33=SUM(G34:G37)</f>
        <v>1</v>
      </c>
    </row>
    <row r="34" spans="1:24">
      <c r="A34" s="11" t="s">
        <v>10</v>
      </c>
      <c r="B34" s="12" t="s">
        <v>11</v>
      </c>
      <c r="C34" s="13" t="s">
        <v>61</v>
      </c>
      <c r="D34" s="13" t="s">
        <v>65</v>
      </c>
      <c r="E34" s="13" t="s">
        <v>14</v>
      </c>
      <c r="F34" s="14">
        <v>9174</v>
      </c>
      <c r="G34" s="14">
        <v>9257</v>
      </c>
      <c r="H34" s="15" t="b">
        <f>F34=SUM(F30)</f>
        <v>1</v>
      </c>
      <c r="I34" s="15" t="b">
        <f>G34=SUM(G30)</f>
        <v>1</v>
      </c>
      <c r="X34" s="11"/>
    </row>
    <row r="35" spans="1:24">
      <c r="A35" s="11" t="s">
        <v>10</v>
      </c>
      <c r="B35" s="12" t="s">
        <v>11</v>
      </c>
      <c r="C35" s="13" t="s">
        <v>61</v>
      </c>
      <c r="D35" s="13" t="s">
        <v>66</v>
      </c>
      <c r="E35" s="13" t="s">
        <v>14</v>
      </c>
      <c r="F35" s="14">
        <v>69</v>
      </c>
      <c r="G35" s="14">
        <v>356</v>
      </c>
      <c r="H35" s="16"/>
      <c r="I35" s="16"/>
    </row>
    <row r="36" spans="1:24">
      <c r="A36" s="11" t="s">
        <v>10</v>
      </c>
      <c r="B36" s="12" t="s">
        <v>11</v>
      </c>
      <c r="C36" s="13" t="s">
        <v>61</v>
      </c>
      <c r="D36" s="13" t="s">
        <v>67</v>
      </c>
      <c r="E36" s="13" t="s">
        <v>14</v>
      </c>
      <c r="F36" s="14">
        <v>17657</v>
      </c>
      <c r="G36" s="14">
        <v>17657</v>
      </c>
      <c r="H36" s="16"/>
      <c r="I36" s="16"/>
    </row>
    <row r="37" spans="1:24">
      <c r="A37" s="11" t="s">
        <v>10</v>
      </c>
      <c r="B37" s="12" t="s">
        <v>11</v>
      </c>
      <c r="C37" s="13" t="s">
        <v>61</v>
      </c>
      <c r="D37" s="13" t="s">
        <v>68</v>
      </c>
      <c r="E37" s="13" t="s">
        <v>14</v>
      </c>
      <c r="F37" s="14">
        <v>285</v>
      </c>
      <c r="G37" s="14">
        <v>661</v>
      </c>
      <c r="H37" s="16"/>
      <c r="I37" s="16"/>
    </row>
    <row r="38" spans="1:24">
      <c r="A38" s="11" t="s">
        <v>10</v>
      </c>
      <c r="B38" s="12" t="s">
        <v>11</v>
      </c>
      <c r="C38" s="13" t="s">
        <v>61</v>
      </c>
      <c r="D38" s="13" t="s">
        <v>69</v>
      </c>
      <c r="E38" s="13" t="s">
        <v>14</v>
      </c>
      <c r="F38" s="14">
        <v>4390</v>
      </c>
      <c r="G38" s="14">
        <v>3817</v>
      </c>
      <c r="H38" s="16"/>
      <c r="I38" s="16"/>
      <c r="X38" s="11"/>
    </row>
    <row r="39" spans="1:24">
      <c r="A39" s="11" t="s">
        <v>10</v>
      </c>
      <c r="B39" s="12" t="s">
        <v>11</v>
      </c>
      <c r="C39" s="13" t="s">
        <v>61</v>
      </c>
      <c r="D39" s="13" t="s">
        <v>70</v>
      </c>
      <c r="E39" s="13" t="s">
        <v>14</v>
      </c>
      <c r="F39" s="14">
        <v>-704</v>
      </c>
      <c r="G39" s="14">
        <v>-149</v>
      </c>
      <c r="H39" s="15" t="b">
        <f>F39=SUM(F31,-F38)</f>
        <v>1</v>
      </c>
      <c r="I39" s="15" t="b">
        <f>G39=SUM(G31,-G38)</f>
        <v>1</v>
      </c>
    </row>
    <row r="40" spans="1:24">
      <c r="A40" s="11" t="s">
        <v>10</v>
      </c>
      <c r="B40" s="12" t="s">
        <v>11</v>
      </c>
      <c r="C40" s="13" t="s">
        <v>71</v>
      </c>
      <c r="D40" s="13" t="s">
        <v>72</v>
      </c>
      <c r="E40" s="13" t="s">
        <v>14</v>
      </c>
      <c r="F40" s="14">
        <v>28141</v>
      </c>
      <c r="G40" s="14">
        <v>40525</v>
      </c>
      <c r="H40" s="16"/>
      <c r="I40" s="19"/>
    </row>
    <row r="41" spans="1:24">
      <c r="A41" s="11" t="s">
        <v>10</v>
      </c>
      <c r="B41" s="12" t="s">
        <v>11</v>
      </c>
      <c r="C41" s="13" t="s">
        <v>71</v>
      </c>
      <c r="D41" s="13" t="s">
        <v>50</v>
      </c>
      <c r="E41" s="13" t="s">
        <v>14</v>
      </c>
      <c r="F41" s="14">
        <v>47812</v>
      </c>
      <c r="G41" s="14">
        <v>50297</v>
      </c>
      <c r="H41" s="15" t="b">
        <f>F41=F23</f>
        <v>1</v>
      </c>
      <c r="I41" s="15" t="b">
        <f>G41=G23</f>
        <v>1</v>
      </c>
      <c r="X41" s="11"/>
    </row>
    <row r="42" spans="1:24">
      <c r="A42" s="11" t="s">
        <v>10</v>
      </c>
      <c r="B42" s="12" t="s">
        <v>11</v>
      </c>
      <c r="C42" s="13" t="s">
        <v>71</v>
      </c>
      <c r="D42" s="13" t="s">
        <v>61</v>
      </c>
      <c r="E42" s="13" t="s">
        <v>14</v>
      </c>
      <c r="F42" s="14">
        <v>-31575</v>
      </c>
      <c r="G42" s="14">
        <v>-31748</v>
      </c>
      <c r="H42" s="16"/>
      <c r="I42" s="16"/>
      <c r="J42" s="6" t="s">
        <v>73</v>
      </c>
    </row>
    <row r="43" spans="1:24">
      <c r="A43" s="11" t="s">
        <v>10</v>
      </c>
      <c r="B43" s="12" t="s">
        <v>11</v>
      </c>
      <c r="C43" s="13" t="s">
        <v>71</v>
      </c>
      <c r="D43" s="13" t="s">
        <v>74</v>
      </c>
      <c r="E43" s="13" t="s">
        <v>14</v>
      </c>
      <c r="F43" s="14">
        <v>-1918</v>
      </c>
      <c r="G43" s="14">
        <v>-1920</v>
      </c>
      <c r="H43" s="16"/>
      <c r="I43" s="16"/>
      <c r="J43" s="6" t="s">
        <v>73</v>
      </c>
    </row>
    <row r="44" spans="1:24">
      <c r="A44" s="11" t="s">
        <v>10</v>
      </c>
      <c r="B44" s="12" t="s">
        <v>11</v>
      </c>
      <c r="C44" s="13" t="s">
        <v>71</v>
      </c>
      <c r="D44" s="13" t="s">
        <v>75</v>
      </c>
      <c r="E44" s="13" t="s">
        <v>14</v>
      </c>
      <c r="F44" s="14">
        <v>1583</v>
      </c>
      <c r="G44" s="14">
        <v>1505</v>
      </c>
      <c r="H44" s="16"/>
      <c r="I44" s="16"/>
    </row>
    <row r="45" spans="1:24">
      <c r="A45" s="11" t="s">
        <v>10</v>
      </c>
      <c r="B45" s="12" t="s">
        <v>11</v>
      </c>
      <c r="C45" s="13" t="s">
        <v>71</v>
      </c>
      <c r="D45" s="13" t="s">
        <v>76</v>
      </c>
      <c r="E45" s="13" t="s">
        <v>14</v>
      </c>
      <c r="F45" s="14">
        <v>0</v>
      </c>
      <c r="G45" s="14">
        <v>0</v>
      </c>
      <c r="H45" s="16"/>
      <c r="I45" s="16"/>
      <c r="X45" s="11"/>
    </row>
    <row r="46" spans="1:24">
      <c r="A46" s="11" t="s">
        <v>10</v>
      </c>
      <c r="B46" s="12" t="s">
        <v>11</v>
      </c>
      <c r="C46" s="13" t="s">
        <v>71</v>
      </c>
      <c r="D46" s="17" t="s">
        <v>77</v>
      </c>
      <c r="E46" s="17" t="s">
        <v>17</v>
      </c>
      <c r="F46" s="18">
        <f>F41+F42+F44+F43+F45</f>
        <v>15902</v>
      </c>
      <c r="G46" s="18">
        <f>G41+G42+G44+G43+G45</f>
        <v>18134</v>
      </c>
      <c r="H46" s="16"/>
      <c r="I46" s="16"/>
      <c r="K46" s="6" t="s">
        <v>78</v>
      </c>
    </row>
    <row r="47" spans="1:24">
      <c r="A47" s="11" t="s">
        <v>10</v>
      </c>
      <c r="B47" s="12" t="s">
        <v>11</v>
      </c>
      <c r="C47" s="13" t="s">
        <v>71</v>
      </c>
      <c r="D47" s="13" t="s">
        <v>79</v>
      </c>
      <c r="E47" s="13" t="s">
        <v>14</v>
      </c>
      <c r="F47" s="14">
        <v>31917</v>
      </c>
      <c r="G47" s="14">
        <v>32515</v>
      </c>
      <c r="H47" s="16"/>
      <c r="I47" s="16"/>
      <c r="J47" s="6" t="s">
        <v>80</v>
      </c>
      <c r="X47" s="11"/>
    </row>
    <row r="48" spans="1:24">
      <c r="A48" s="11" t="s">
        <v>10</v>
      </c>
      <c r="B48" s="12" t="s">
        <v>11</v>
      </c>
      <c r="C48" s="13" t="s">
        <v>71</v>
      </c>
      <c r="D48" s="13" t="s">
        <v>81</v>
      </c>
      <c r="E48" s="13" t="s">
        <v>14</v>
      </c>
      <c r="F48" s="14">
        <v>0</v>
      </c>
      <c r="G48" s="14">
        <v>0</v>
      </c>
      <c r="H48" s="16"/>
      <c r="I48" s="16"/>
      <c r="X48" s="11"/>
    </row>
    <row r="49" spans="1:24">
      <c r="A49" s="11" t="s">
        <v>10</v>
      </c>
      <c r="B49" s="12" t="s">
        <v>11</v>
      </c>
      <c r="C49" s="13" t="s">
        <v>71</v>
      </c>
      <c r="D49" s="13" t="s">
        <v>82</v>
      </c>
      <c r="E49" s="13" t="s">
        <v>14</v>
      </c>
      <c r="F49" s="14"/>
      <c r="G49" s="14"/>
      <c r="H49" s="16"/>
      <c r="I49" s="16"/>
      <c r="X49" s="10"/>
    </row>
    <row r="50" spans="1:24">
      <c r="A50" s="11" t="s">
        <v>10</v>
      </c>
      <c r="B50" s="12" t="s">
        <v>11</v>
      </c>
      <c r="C50" s="13" t="s">
        <v>71</v>
      </c>
      <c r="D50" s="13" t="s">
        <v>83</v>
      </c>
      <c r="E50" s="13" t="s">
        <v>14</v>
      </c>
      <c r="F50" s="14">
        <v>16306</v>
      </c>
      <c r="G50" s="14">
        <v>52900</v>
      </c>
      <c r="H50" s="16"/>
      <c r="I50" s="16"/>
      <c r="X50" s="11"/>
    </row>
    <row r="51" spans="1:24">
      <c r="A51" s="11" t="s">
        <v>10</v>
      </c>
      <c r="B51" s="12" t="s">
        <v>11</v>
      </c>
      <c r="C51" s="13" t="s">
        <v>71</v>
      </c>
      <c r="D51" s="13" t="s">
        <v>84</v>
      </c>
      <c r="E51" s="13" t="s">
        <v>14</v>
      </c>
      <c r="F51" s="14">
        <v>35437</v>
      </c>
      <c r="G51" s="14">
        <v>21422</v>
      </c>
      <c r="H51" s="16"/>
      <c r="I51" s="16"/>
      <c r="X51" s="10"/>
    </row>
    <row r="52" spans="1:24">
      <c r="A52" s="11" t="s">
        <v>10</v>
      </c>
      <c r="B52" s="12" t="s">
        <v>11</v>
      </c>
      <c r="C52" s="13" t="s">
        <v>71</v>
      </c>
      <c r="D52" s="13" t="s">
        <v>85</v>
      </c>
      <c r="E52" s="13" t="s">
        <v>14</v>
      </c>
      <c r="F52" s="14">
        <v>80</v>
      </c>
      <c r="G52" s="14">
        <v>-162</v>
      </c>
      <c r="H52" s="16"/>
      <c r="I52" s="16"/>
      <c r="X52" s="10"/>
    </row>
    <row r="53" spans="1:24">
      <c r="A53" s="11" t="s">
        <v>10</v>
      </c>
      <c r="B53" s="12" t="s">
        <v>11</v>
      </c>
      <c r="C53" s="13" t="s">
        <v>71</v>
      </c>
      <c r="D53" s="13" t="s">
        <v>86</v>
      </c>
      <c r="E53" s="13" t="s">
        <v>14</v>
      </c>
      <c r="F53" s="14">
        <v>-61185</v>
      </c>
      <c r="G53" s="14">
        <v>-78162</v>
      </c>
      <c r="H53" s="16"/>
      <c r="I53" s="16"/>
      <c r="X53" s="11"/>
    </row>
    <row r="54" spans="1:24">
      <c r="A54" s="11" t="s">
        <v>10</v>
      </c>
      <c r="B54" s="12" t="s">
        <v>11</v>
      </c>
      <c r="C54" s="13" t="s">
        <v>71</v>
      </c>
      <c r="D54" s="13" t="s">
        <v>87</v>
      </c>
      <c r="E54" s="13" t="s">
        <v>14</v>
      </c>
      <c r="F54" s="14">
        <v>338</v>
      </c>
      <c r="G54" s="14">
        <v>324</v>
      </c>
      <c r="H54" s="16"/>
      <c r="I54" s="16"/>
    </row>
    <row r="55" spans="1:24">
      <c r="A55" s="11" t="s">
        <v>10</v>
      </c>
      <c r="B55" s="12" t="s">
        <v>11</v>
      </c>
      <c r="C55" s="13" t="s">
        <v>71</v>
      </c>
      <c r="D55" s="13" t="s">
        <v>88</v>
      </c>
      <c r="E55" s="13" t="s">
        <v>14</v>
      </c>
      <c r="F55" s="14">
        <v>-3166</v>
      </c>
      <c r="G55" s="14">
        <v>-3510</v>
      </c>
      <c r="H55" s="16"/>
      <c r="I55" s="16"/>
    </row>
    <row r="56" spans="1:24">
      <c r="A56" s="11" t="s">
        <v>10</v>
      </c>
      <c r="B56" s="12" t="s">
        <v>11</v>
      </c>
      <c r="C56" s="13" t="s">
        <v>71</v>
      </c>
      <c r="D56" s="13" t="s">
        <v>89</v>
      </c>
      <c r="E56" s="13" t="s">
        <v>14</v>
      </c>
      <c r="F56" s="22">
        <v>-1190</v>
      </c>
      <c r="G56" s="14">
        <v>0</v>
      </c>
      <c r="H56" s="16"/>
      <c r="I56" s="16"/>
    </row>
    <row r="57" spans="1:24">
      <c r="A57" s="11" t="s">
        <v>10</v>
      </c>
      <c r="B57" s="12" t="s">
        <v>11</v>
      </c>
      <c r="C57" s="13" t="s">
        <v>71</v>
      </c>
      <c r="D57" s="13" t="s">
        <v>90</v>
      </c>
      <c r="E57" s="13" t="s">
        <v>14</v>
      </c>
      <c r="F57" s="14">
        <v>-3415</v>
      </c>
      <c r="G57" s="14">
        <v>-3479</v>
      </c>
      <c r="H57" s="16"/>
      <c r="I57" s="16"/>
    </row>
    <row r="58" spans="1:24">
      <c r="A58" s="11" t="s">
        <v>10</v>
      </c>
      <c r="B58" s="12" t="s">
        <v>11</v>
      </c>
      <c r="C58" s="13" t="s">
        <v>71</v>
      </c>
      <c r="D58" s="17" t="s">
        <v>91</v>
      </c>
      <c r="E58" s="17" t="s">
        <v>17</v>
      </c>
      <c r="F58" s="18">
        <f>SUM(F47:F57)</f>
        <v>15122</v>
      </c>
      <c r="G58" s="18">
        <f>SUM(G47:G57)</f>
        <v>21848</v>
      </c>
      <c r="H58" s="16"/>
      <c r="I58" s="16"/>
      <c r="K58" s="6" t="s">
        <v>92</v>
      </c>
    </row>
    <row r="59" spans="1:24">
      <c r="A59" s="11" t="s">
        <v>10</v>
      </c>
      <c r="B59" s="12" t="s">
        <v>11</v>
      </c>
      <c r="C59" s="13" t="s">
        <v>71</v>
      </c>
      <c r="D59" s="20" t="s">
        <v>93</v>
      </c>
      <c r="E59" s="23" t="s">
        <v>14</v>
      </c>
      <c r="F59" s="21"/>
      <c r="G59" s="21"/>
      <c r="H59" s="16"/>
      <c r="I59" s="16"/>
    </row>
    <row r="60" spans="1:24">
      <c r="A60" s="11" t="s">
        <v>10</v>
      </c>
      <c r="B60" s="12" t="s">
        <v>11</v>
      </c>
      <c r="C60" s="13" t="s">
        <v>71</v>
      </c>
      <c r="D60" s="13" t="s">
        <v>94</v>
      </c>
      <c r="E60" s="24" t="s">
        <v>14</v>
      </c>
      <c r="F60" s="14">
        <v>967</v>
      </c>
      <c r="G60" s="14">
        <v>741</v>
      </c>
      <c r="H60" s="16"/>
      <c r="I60" s="16"/>
    </row>
    <row r="61" spans="1:24">
      <c r="A61" s="11" t="s">
        <v>10</v>
      </c>
      <c r="B61" s="12" t="s">
        <v>11</v>
      </c>
      <c r="C61" s="13" t="s">
        <v>71</v>
      </c>
      <c r="D61" s="20" t="s">
        <v>95</v>
      </c>
      <c r="E61" s="23" t="s">
        <v>14</v>
      </c>
      <c r="F61" s="21"/>
      <c r="G61" s="21"/>
      <c r="H61" s="16"/>
      <c r="I61" s="16"/>
    </row>
    <row r="62" spans="1:24">
      <c r="A62" s="11" t="s">
        <v>10</v>
      </c>
      <c r="B62" s="12" t="s">
        <v>11</v>
      </c>
      <c r="C62" s="13" t="s">
        <v>71</v>
      </c>
      <c r="D62" s="13" t="s">
        <v>96</v>
      </c>
      <c r="E62" s="24" t="s">
        <v>14</v>
      </c>
      <c r="F62" s="22">
        <v>36</v>
      </c>
      <c r="G62" s="14">
        <v>32</v>
      </c>
      <c r="H62" s="16"/>
      <c r="I62" s="16"/>
    </row>
    <row r="63" spans="1:24">
      <c r="A63" s="11" t="s">
        <v>10</v>
      </c>
      <c r="B63" s="12" t="s">
        <v>11</v>
      </c>
      <c r="C63" s="13" t="s">
        <v>71</v>
      </c>
      <c r="D63" s="13" t="s">
        <v>97</v>
      </c>
      <c r="E63" s="24" t="s">
        <v>14</v>
      </c>
      <c r="F63" s="22">
        <v>-89</v>
      </c>
      <c r="G63" s="14">
        <v>-131</v>
      </c>
      <c r="H63" s="16"/>
      <c r="I63" s="16"/>
    </row>
    <row r="64" spans="1:24">
      <c r="A64" s="11" t="s">
        <v>10</v>
      </c>
      <c r="B64" s="12" t="s">
        <v>11</v>
      </c>
      <c r="C64" s="13" t="s">
        <v>71</v>
      </c>
      <c r="D64" s="13" t="s">
        <v>98</v>
      </c>
      <c r="E64" s="24" t="s">
        <v>14</v>
      </c>
      <c r="F64" s="22">
        <v>-3062</v>
      </c>
      <c r="G64" s="14">
        <v>-2773</v>
      </c>
      <c r="H64" s="16"/>
      <c r="I64" s="16"/>
    </row>
    <row r="65" spans="1:11">
      <c r="A65" s="11" t="s">
        <v>10</v>
      </c>
      <c r="B65" s="12" t="s">
        <v>11</v>
      </c>
      <c r="C65" s="13" t="s">
        <v>71</v>
      </c>
      <c r="D65" s="13" t="s">
        <v>99</v>
      </c>
      <c r="E65" s="24" t="s">
        <v>14</v>
      </c>
      <c r="F65" s="25">
        <v>-659</v>
      </c>
      <c r="G65" s="14">
        <v>-650</v>
      </c>
      <c r="H65" s="16"/>
      <c r="I65" s="16"/>
    </row>
    <row r="66" spans="1:11">
      <c r="A66" s="11" t="s">
        <v>10</v>
      </c>
      <c r="B66" s="12" t="s">
        <v>11</v>
      </c>
      <c r="C66" s="13" t="s">
        <v>71</v>
      </c>
      <c r="D66" s="13" t="s">
        <v>100</v>
      </c>
      <c r="E66" s="24" t="s">
        <v>14</v>
      </c>
      <c r="F66" s="14">
        <v>17</v>
      </c>
      <c r="G66" s="14">
        <v>3465</v>
      </c>
      <c r="H66" s="16"/>
      <c r="I66" s="16"/>
    </row>
    <row r="67" spans="1:11">
      <c r="A67" s="11" t="s">
        <v>10</v>
      </c>
      <c r="B67" s="12" t="s">
        <v>11</v>
      </c>
      <c r="C67" s="13" t="s">
        <v>71</v>
      </c>
      <c r="D67" s="13" t="s">
        <v>101</v>
      </c>
      <c r="E67" s="24" t="s">
        <v>14</v>
      </c>
      <c r="F67" s="14">
        <v>-93</v>
      </c>
      <c r="G67" s="14">
        <v>-141</v>
      </c>
      <c r="H67" s="16"/>
      <c r="I67" s="16"/>
    </row>
    <row r="68" spans="1:11">
      <c r="A68" s="11" t="s">
        <v>10</v>
      </c>
      <c r="B68" s="12" t="s">
        <v>11</v>
      </c>
      <c r="C68" s="13" t="s">
        <v>71</v>
      </c>
      <c r="D68" s="17" t="s">
        <v>102</v>
      </c>
      <c r="E68" s="17" t="s">
        <v>17</v>
      </c>
      <c r="F68" s="18">
        <f>SUM(F59:F67)</f>
        <v>-2883</v>
      </c>
      <c r="G68" s="18">
        <f>SUM(G59:G67)</f>
        <v>543</v>
      </c>
      <c r="H68" s="15" t="b">
        <f>SUM(F68,F58,F46)=F40</f>
        <v>1</v>
      </c>
      <c r="I68" s="15" t="b">
        <f>SUM(G68,G58,G46)=G40</f>
        <v>1</v>
      </c>
      <c r="K68" s="6" t="s">
        <v>103</v>
      </c>
    </row>
    <row r="69" spans="1:11">
      <c r="A69" s="11" t="s">
        <v>10</v>
      </c>
      <c r="B69" s="12" t="s">
        <v>11</v>
      </c>
      <c r="C69" s="13" t="s">
        <v>71</v>
      </c>
      <c r="D69" s="26" t="s">
        <v>104</v>
      </c>
      <c r="E69" s="13" t="s">
        <v>14</v>
      </c>
      <c r="F69" s="14">
        <v>-58266</v>
      </c>
      <c r="G69" s="14">
        <v>5429</v>
      </c>
      <c r="H69" s="16"/>
      <c r="I69" s="16"/>
    </row>
    <row r="70" spans="1:11">
      <c r="A70" s="11" t="s">
        <v>10</v>
      </c>
      <c r="B70" s="12" t="s">
        <v>11</v>
      </c>
      <c r="C70" s="13" t="s">
        <v>71</v>
      </c>
      <c r="D70" s="26" t="s">
        <v>105</v>
      </c>
      <c r="E70" s="13" t="s">
        <v>14</v>
      </c>
      <c r="F70" s="14">
        <v>555</v>
      </c>
      <c r="G70" s="14">
        <v>112</v>
      </c>
      <c r="H70" s="16"/>
      <c r="I70" s="16"/>
    </row>
    <row r="71" spans="1:11">
      <c r="A71" s="11" t="s">
        <v>10</v>
      </c>
      <c r="B71" s="12" t="s">
        <v>11</v>
      </c>
      <c r="C71" s="13" t="s">
        <v>71</v>
      </c>
      <c r="D71" s="17" t="s">
        <v>106</v>
      </c>
      <c r="E71" s="17" t="s">
        <v>17</v>
      </c>
      <c r="F71" s="18">
        <f>SUM(F69:F70)</f>
        <v>-57711</v>
      </c>
      <c r="G71" s="18">
        <f>SUM(G69:G70)</f>
        <v>5541</v>
      </c>
      <c r="H71" s="16"/>
      <c r="I71" s="16"/>
      <c r="K71" s="6" t="s">
        <v>107</v>
      </c>
    </row>
    <row r="72" spans="1:11">
      <c r="A72" s="11" t="s">
        <v>10</v>
      </c>
      <c r="B72" s="12" t="s">
        <v>11</v>
      </c>
      <c r="C72" s="13" t="s">
        <v>71</v>
      </c>
      <c r="D72" s="27" t="s">
        <v>108</v>
      </c>
      <c r="E72" s="13" t="s">
        <v>14</v>
      </c>
      <c r="F72" s="14">
        <v>23150</v>
      </c>
      <c r="G72" s="14">
        <v>-23288</v>
      </c>
      <c r="H72" s="16"/>
      <c r="I72" s="16"/>
      <c r="J72" s="6" t="s">
        <v>109</v>
      </c>
    </row>
    <row r="73" spans="1:11">
      <c r="A73" s="11" t="s">
        <v>10</v>
      </c>
      <c r="B73" s="12" t="s">
        <v>11</v>
      </c>
      <c r="C73" s="13" t="s">
        <v>71</v>
      </c>
      <c r="D73" s="26" t="s">
        <v>110</v>
      </c>
      <c r="E73" s="13" t="s">
        <v>14</v>
      </c>
      <c r="F73" s="14">
        <v>705</v>
      </c>
      <c r="G73" s="14">
        <v>1168</v>
      </c>
      <c r="H73" s="16"/>
      <c r="I73" s="16"/>
      <c r="J73" s="6" t="s">
        <v>111</v>
      </c>
    </row>
    <row r="74" spans="1:11">
      <c r="A74" s="11" t="s">
        <v>10</v>
      </c>
      <c r="B74" s="12" t="s">
        <v>11</v>
      </c>
      <c r="C74" s="13" t="s">
        <v>71</v>
      </c>
      <c r="D74" s="17" t="s">
        <v>112</v>
      </c>
      <c r="E74" s="17" t="s">
        <v>17</v>
      </c>
      <c r="F74" s="18">
        <f>SUM(F72:F73)</f>
        <v>23855</v>
      </c>
      <c r="G74" s="18">
        <f>SUM(G72:G73)</f>
        <v>-22120</v>
      </c>
      <c r="H74" s="16"/>
      <c r="I74" s="16"/>
      <c r="K74" s="6" t="s">
        <v>113</v>
      </c>
    </row>
    <row r="75" spans="1:11">
      <c r="A75" s="11" t="s">
        <v>10</v>
      </c>
      <c r="B75" s="12" t="s">
        <v>11</v>
      </c>
      <c r="C75" s="13" t="s">
        <v>71</v>
      </c>
      <c r="D75" s="17" t="s">
        <v>114</v>
      </c>
      <c r="E75" s="17" t="s">
        <v>17</v>
      </c>
      <c r="F75" s="18">
        <f>F71+F74</f>
        <v>-33856</v>
      </c>
      <c r="G75" s="18">
        <f>G71+G74</f>
        <v>-16579</v>
      </c>
      <c r="H75" s="16"/>
      <c r="I75" s="16"/>
      <c r="K75" s="6" t="s">
        <v>115</v>
      </c>
    </row>
    <row r="76" spans="1:11">
      <c r="A76" s="11" t="s">
        <v>10</v>
      </c>
      <c r="B76" s="12" t="s">
        <v>11</v>
      </c>
      <c r="C76" s="13" t="s">
        <v>71</v>
      </c>
      <c r="D76" s="13" t="s">
        <v>116</v>
      </c>
      <c r="E76" s="13" t="s">
        <v>14</v>
      </c>
      <c r="F76" s="14">
        <v>-260</v>
      </c>
      <c r="G76" s="14">
        <v>-166</v>
      </c>
      <c r="H76" s="16"/>
      <c r="I76" s="16"/>
      <c r="J76" s="6" t="s">
        <v>117</v>
      </c>
    </row>
    <row r="77" spans="1:11">
      <c r="A77" s="11" t="s">
        <v>10</v>
      </c>
      <c r="B77" s="12" t="s">
        <v>11</v>
      </c>
      <c r="C77" s="13" t="s">
        <v>71</v>
      </c>
      <c r="D77" s="13" t="s">
        <v>118</v>
      </c>
      <c r="E77" s="13" t="s">
        <v>14</v>
      </c>
      <c r="F77" s="14">
        <v>2600</v>
      </c>
      <c r="G77" s="14">
        <v>3251</v>
      </c>
      <c r="H77" s="16"/>
      <c r="I77" s="16"/>
      <c r="J77" s="6" t="s">
        <v>119</v>
      </c>
    </row>
    <row r="78" spans="1:11">
      <c r="A78" s="11" t="s">
        <v>10</v>
      </c>
      <c r="B78" s="12" t="s">
        <v>11</v>
      </c>
      <c r="C78" s="13" t="s">
        <v>71</v>
      </c>
      <c r="D78" s="17" t="s">
        <v>120</v>
      </c>
      <c r="E78" s="17" t="s">
        <v>17</v>
      </c>
      <c r="F78" s="18">
        <f>F76+F77</f>
        <v>2340</v>
      </c>
      <c r="G78" s="18">
        <f>G76+G77</f>
        <v>3085</v>
      </c>
      <c r="H78" s="16"/>
      <c r="I78" s="16"/>
      <c r="K78" s="6" t="s">
        <v>121</v>
      </c>
    </row>
    <row r="79" spans="1:11">
      <c r="A79" s="11" t="s">
        <v>10</v>
      </c>
      <c r="B79" s="12" t="s">
        <v>11</v>
      </c>
      <c r="C79" s="13" t="s">
        <v>71</v>
      </c>
      <c r="D79" s="26" t="s">
        <v>74</v>
      </c>
      <c r="E79" s="13" t="s">
        <v>14</v>
      </c>
      <c r="F79" s="14">
        <v>-1918</v>
      </c>
      <c r="G79" s="14">
        <v>-1920</v>
      </c>
      <c r="H79" s="15" t="b">
        <f>F79=F43</f>
        <v>1</v>
      </c>
      <c r="I79" s="15" t="b">
        <f>G79=G43</f>
        <v>1</v>
      </c>
    </row>
    <row r="80" spans="1:11">
      <c r="A80" s="11" t="s">
        <v>10</v>
      </c>
      <c r="B80" s="12" t="s">
        <v>11</v>
      </c>
      <c r="C80" s="13" t="s">
        <v>71</v>
      </c>
      <c r="D80" s="26" t="s">
        <v>75</v>
      </c>
      <c r="E80" s="13" t="s">
        <v>14</v>
      </c>
      <c r="F80" s="14">
        <v>1583</v>
      </c>
      <c r="G80" s="14">
        <v>1505</v>
      </c>
      <c r="H80" s="15" t="b">
        <f>F80=F44</f>
        <v>1</v>
      </c>
      <c r="I80" s="15" t="b">
        <f>G80=G44</f>
        <v>1</v>
      </c>
    </row>
    <row r="81" spans="1:11">
      <c r="A81" s="11" t="s">
        <v>10</v>
      </c>
      <c r="B81" s="12" t="s">
        <v>11</v>
      </c>
      <c r="C81" s="13" t="s">
        <v>71</v>
      </c>
      <c r="D81" s="17" t="s">
        <v>122</v>
      </c>
      <c r="E81" s="17" t="s">
        <v>17</v>
      </c>
      <c r="F81" s="18">
        <f>SUM(F79:F80)</f>
        <v>-335</v>
      </c>
      <c r="G81" s="18">
        <f>SUM(G79:G80)</f>
        <v>-415</v>
      </c>
      <c r="H81" s="16"/>
      <c r="I81" s="16"/>
      <c r="K81" s="6" t="s">
        <v>123</v>
      </c>
    </row>
    <row r="82" spans="1:11">
      <c r="A82" s="11" t="s">
        <v>10</v>
      </c>
      <c r="B82" s="12" t="s">
        <v>11</v>
      </c>
      <c r="C82" s="13" t="s">
        <v>71</v>
      </c>
      <c r="D82" s="17" t="s">
        <v>124</v>
      </c>
      <c r="E82" s="17" t="s">
        <v>17</v>
      </c>
      <c r="F82" s="18">
        <f>F47+F48+F50+F51+F52+F55+F56+F57</f>
        <v>75969</v>
      </c>
      <c r="G82" s="18">
        <f>G47+G48+G50+G51+G52+G55+G56+G57</f>
        <v>99686</v>
      </c>
      <c r="H82" s="16"/>
      <c r="I82" s="16"/>
      <c r="K82" s="6" t="s">
        <v>125</v>
      </c>
    </row>
    <row r="83" spans="1:11">
      <c r="A83" s="11" t="s">
        <v>10</v>
      </c>
      <c r="B83" s="12" t="s">
        <v>11</v>
      </c>
      <c r="C83" s="13" t="s">
        <v>71</v>
      </c>
      <c r="D83" s="13" t="s">
        <v>86</v>
      </c>
      <c r="E83" s="13" t="s">
        <v>14</v>
      </c>
      <c r="F83" s="14">
        <v>-61185</v>
      </c>
      <c r="G83" s="14">
        <v>-78162</v>
      </c>
      <c r="H83" s="15" t="b">
        <f>F83=F53</f>
        <v>1</v>
      </c>
      <c r="I83" s="15" t="b">
        <f>G83=G53</f>
        <v>1</v>
      </c>
      <c r="J83" s="6" t="s">
        <v>86</v>
      </c>
    </row>
    <row r="84" spans="1:11">
      <c r="A84" s="11" t="s">
        <v>10</v>
      </c>
      <c r="B84" s="12" t="s">
        <v>11</v>
      </c>
      <c r="C84" s="13" t="s">
        <v>71</v>
      </c>
      <c r="D84" s="13" t="s">
        <v>126</v>
      </c>
      <c r="E84" s="13" t="s">
        <v>14</v>
      </c>
      <c r="F84" s="14">
        <v>338</v>
      </c>
      <c r="G84" s="14">
        <v>324</v>
      </c>
      <c r="H84" s="28" t="b">
        <f>SUM(F82:F84)=F58</f>
        <v>1</v>
      </c>
      <c r="I84" s="28" t="b">
        <f>SUM(G82:G84)=G58</f>
        <v>1</v>
      </c>
      <c r="J84" s="6" t="s">
        <v>87</v>
      </c>
    </row>
    <row r="85" spans="1:11">
      <c r="A85" s="11" t="s">
        <v>10</v>
      </c>
      <c r="B85" s="12" t="s">
        <v>11</v>
      </c>
      <c r="C85" s="13" t="s">
        <v>71</v>
      </c>
      <c r="D85" s="13" t="s">
        <v>19</v>
      </c>
      <c r="E85" s="13" t="s">
        <v>14</v>
      </c>
      <c r="F85" s="14">
        <v>26233</v>
      </c>
      <c r="G85" s="14">
        <v>36289</v>
      </c>
      <c r="H85" s="15" t="b">
        <f>F85=F5</f>
        <v>1</v>
      </c>
      <c r="I85" s="15" t="b">
        <f>G85=G5</f>
        <v>1</v>
      </c>
    </row>
    <row r="86" spans="1:11">
      <c r="A86" s="11" t="s">
        <v>10</v>
      </c>
      <c r="B86" s="12" t="s">
        <v>11</v>
      </c>
      <c r="C86" s="13" t="s">
        <v>71</v>
      </c>
      <c r="D86" s="13" t="s">
        <v>16</v>
      </c>
      <c r="E86" s="13" t="s">
        <v>14</v>
      </c>
      <c r="F86" s="14">
        <v>-4477</v>
      </c>
      <c r="G86" s="14">
        <v>23697</v>
      </c>
      <c r="H86" s="15" t="b">
        <f>F86=F4</f>
        <v>1</v>
      </c>
      <c r="I86" s="15" t="b">
        <f>G86=G4</f>
        <v>1</v>
      </c>
    </row>
    <row r="87" spans="1:11">
      <c r="A87" s="11" t="s">
        <v>10</v>
      </c>
      <c r="B87" s="12" t="s">
        <v>11</v>
      </c>
      <c r="C87" s="13" t="s">
        <v>71</v>
      </c>
      <c r="D87" s="17" t="s">
        <v>127</v>
      </c>
      <c r="E87" s="17" t="s">
        <v>17</v>
      </c>
      <c r="F87" s="18">
        <f>F86-F85-F78-F75</f>
        <v>806</v>
      </c>
      <c r="G87" s="18">
        <f>G86-G85-G78-G75</f>
        <v>902</v>
      </c>
      <c r="H87" s="16"/>
      <c r="I87" s="16"/>
      <c r="K87" s="6" t="s">
        <v>128</v>
      </c>
    </row>
    <row r="88" spans="1:11">
      <c r="A88" s="11" t="s">
        <v>10</v>
      </c>
      <c r="B88" s="12" t="s">
        <v>11</v>
      </c>
      <c r="C88" s="13" t="s">
        <v>129</v>
      </c>
      <c r="D88" s="26" t="s">
        <v>130</v>
      </c>
      <c r="E88" s="13" t="s">
        <v>14</v>
      </c>
      <c r="F88" s="14">
        <v>38461</v>
      </c>
      <c r="G88" s="14">
        <v>42923</v>
      </c>
      <c r="H88" s="16"/>
      <c r="I88" s="16"/>
    </row>
    <row r="89" spans="1:11">
      <c r="A89" s="11" t="s">
        <v>10</v>
      </c>
      <c r="B89" s="12" t="s">
        <v>11</v>
      </c>
      <c r="C89" s="13" t="s">
        <v>129</v>
      </c>
      <c r="D89" s="26" t="s">
        <v>131</v>
      </c>
      <c r="E89" s="13" t="s">
        <v>14</v>
      </c>
      <c r="F89" s="14">
        <v>282458</v>
      </c>
      <c r="G89" s="14">
        <v>293964</v>
      </c>
      <c r="H89" s="16"/>
      <c r="I89" s="16"/>
    </row>
    <row r="90" spans="1:11">
      <c r="A90" s="11" t="s">
        <v>10</v>
      </c>
      <c r="B90" s="12" t="s">
        <v>11</v>
      </c>
      <c r="C90" s="13" t="s">
        <v>129</v>
      </c>
      <c r="D90" s="17" t="s">
        <v>132</v>
      </c>
      <c r="E90" s="17" t="s">
        <v>17</v>
      </c>
      <c r="F90" s="18">
        <f>F89+F88</f>
        <v>320919</v>
      </c>
      <c r="G90" s="18">
        <f>G89+G88</f>
        <v>336887</v>
      </c>
      <c r="H90" s="16"/>
      <c r="I90" s="16"/>
      <c r="K90" s="6" t="s">
        <v>133</v>
      </c>
    </row>
    <row r="91" spans="1:11">
      <c r="A91" s="11" t="s">
        <v>10</v>
      </c>
      <c r="B91" s="12" t="s">
        <v>11</v>
      </c>
      <c r="C91" s="13" t="s">
        <v>129</v>
      </c>
      <c r="D91" s="13" t="s">
        <v>134</v>
      </c>
      <c r="E91" s="13" t="s">
        <v>14</v>
      </c>
      <c r="F91" s="14">
        <v>30245</v>
      </c>
      <c r="G91" s="14">
        <v>65633</v>
      </c>
      <c r="H91" s="16"/>
      <c r="I91" s="16"/>
    </row>
    <row r="92" spans="1:11">
      <c r="A92" s="11" t="s">
        <v>10</v>
      </c>
      <c r="B92" s="12" t="s">
        <v>11</v>
      </c>
      <c r="C92" s="13" t="s">
        <v>129</v>
      </c>
      <c r="D92" s="13" t="s">
        <v>135</v>
      </c>
      <c r="E92" s="13" t="s">
        <v>14</v>
      </c>
      <c r="F92" s="14">
        <v>9055</v>
      </c>
      <c r="G92" s="14">
        <v>11424</v>
      </c>
      <c r="H92" s="16"/>
      <c r="I92" s="16"/>
    </row>
    <row r="93" spans="1:11">
      <c r="A93" s="11" t="s">
        <v>10</v>
      </c>
      <c r="B93" s="12" t="s">
        <v>11</v>
      </c>
      <c r="C93" s="13" t="s">
        <v>129</v>
      </c>
      <c r="D93" s="13" t="s">
        <v>136</v>
      </c>
      <c r="E93" s="13" t="s">
        <v>14</v>
      </c>
      <c r="F93" s="14">
        <v>485928</v>
      </c>
      <c r="G93" s="14">
        <v>579756</v>
      </c>
      <c r="H93" s="16"/>
      <c r="I93" s="16"/>
      <c r="J93" s="6" t="s">
        <v>137</v>
      </c>
    </row>
    <row r="94" spans="1:11">
      <c r="A94" s="11" t="s">
        <v>10</v>
      </c>
      <c r="B94" s="12" t="s">
        <v>11</v>
      </c>
      <c r="C94" s="13" t="s">
        <v>129</v>
      </c>
      <c r="D94" s="13" t="s">
        <v>138</v>
      </c>
      <c r="E94" s="13" t="s">
        <v>14</v>
      </c>
      <c r="F94" s="14">
        <v>274891</v>
      </c>
      <c r="G94" s="14">
        <v>256913</v>
      </c>
      <c r="H94" s="16"/>
      <c r="I94" s="16"/>
      <c r="J94" s="6" t="s">
        <v>139</v>
      </c>
    </row>
    <row r="95" spans="1:11">
      <c r="A95" s="11" t="s">
        <v>10</v>
      </c>
      <c r="B95" s="12" t="s">
        <v>11</v>
      </c>
      <c r="C95" s="13" t="s">
        <v>129</v>
      </c>
      <c r="D95" s="13" t="s">
        <v>140</v>
      </c>
      <c r="E95" s="13" t="s">
        <v>14</v>
      </c>
      <c r="F95" s="14">
        <v>470366</v>
      </c>
      <c r="G95" s="14">
        <v>535968</v>
      </c>
      <c r="H95" s="16"/>
      <c r="I95" s="16"/>
      <c r="J95" s="6" t="s">
        <v>141</v>
      </c>
    </row>
    <row r="96" spans="1:11">
      <c r="A96" s="11" t="s">
        <v>10</v>
      </c>
      <c r="B96" s="12" t="s">
        <v>11</v>
      </c>
      <c r="C96" s="13" t="s">
        <v>129</v>
      </c>
      <c r="D96" s="13" t="s">
        <v>142</v>
      </c>
      <c r="E96" s="13" t="s">
        <v>14</v>
      </c>
      <c r="F96" s="14">
        <v>30640</v>
      </c>
      <c r="G96" s="14">
        <v>38556</v>
      </c>
      <c r="H96" s="16"/>
      <c r="I96" s="16"/>
      <c r="J96" s="6" t="s">
        <v>143</v>
      </c>
    </row>
    <row r="97" spans="1:10">
      <c r="A97" s="11" t="s">
        <v>10</v>
      </c>
      <c r="B97" s="12" t="s">
        <v>11</v>
      </c>
      <c r="C97" s="13" t="s">
        <v>129</v>
      </c>
      <c r="D97" s="13" t="s">
        <v>144</v>
      </c>
      <c r="E97" s="13" t="s">
        <v>14</v>
      </c>
      <c r="F97" s="14">
        <v>96269</v>
      </c>
      <c r="G97" s="14">
        <v>111578</v>
      </c>
      <c r="H97" s="16"/>
      <c r="I97" s="16"/>
    </row>
    <row r="98" spans="1:10">
      <c r="A98" s="11" t="s">
        <v>10</v>
      </c>
      <c r="B98" s="12" t="s">
        <v>11</v>
      </c>
      <c r="C98" s="13" t="s">
        <v>129</v>
      </c>
      <c r="D98" s="13" t="s">
        <v>145</v>
      </c>
      <c r="E98" s="13" t="s">
        <v>14</v>
      </c>
      <c r="F98" s="14">
        <v>1692297</v>
      </c>
      <c r="G98" s="14">
        <v>1899484</v>
      </c>
      <c r="H98" s="16"/>
      <c r="I98" s="16"/>
      <c r="J98" s="6" t="s">
        <v>146</v>
      </c>
    </row>
    <row r="99" spans="1:10">
      <c r="A99" s="11" t="s">
        <v>10</v>
      </c>
      <c r="B99" s="12" t="s">
        <v>11</v>
      </c>
      <c r="C99" s="13" t="s">
        <v>147</v>
      </c>
      <c r="D99" s="13" t="s">
        <v>148</v>
      </c>
      <c r="E99" s="13" t="s">
        <v>14</v>
      </c>
      <c r="F99" s="14" t="s">
        <v>149</v>
      </c>
      <c r="G99" s="14" t="s">
        <v>150</v>
      </c>
      <c r="H99" s="16"/>
      <c r="I99" s="16"/>
    </row>
    <row r="100" spans="1:10">
      <c r="A100" s="11" t="s">
        <v>10</v>
      </c>
      <c r="B100" s="12" t="s">
        <v>11</v>
      </c>
      <c r="C100" s="13" t="s">
        <v>147</v>
      </c>
      <c r="D100" s="13" t="s">
        <v>151</v>
      </c>
      <c r="E100" s="13" t="s">
        <v>14</v>
      </c>
      <c r="F100" s="29">
        <v>0.75</v>
      </c>
      <c r="G100" s="29">
        <v>0.75</v>
      </c>
      <c r="H100" s="16"/>
      <c r="I100" s="16"/>
    </row>
    <row r="101" spans="1:10">
      <c r="A101" s="11" t="s">
        <v>10</v>
      </c>
      <c r="B101" s="12" t="s">
        <v>11</v>
      </c>
      <c r="C101" s="13" t="s">
        <v>147</v>
      </c>
      <c r="D101" s="13" t="s">
        <v>152</v>
      </c>
      <c r="E101" s="13" t="s">
        <v>14</v>
      </c>
      <c r="F101" s="29">
        <f>9%</f>
        <v>0.09</v>
      </c>
      <c r="G101" s="29">
        <f>9%</f>
        <v>0.09</v>
      </c>
      <c r="H101" s="16"/>
      <c r="I101" s="16"/>
    </row>
    <row r="102" spans="1:10">
      <c r="A102" s="11" t="s">
        <v>10</v>
      </c>
      <c r="B102" s="12" t="s">
        <v>11</v>
      </c>
      <c r="C102" s="13" t="s">
        <v>147</v>
      </c>
      <c r="D102" s="13" t="s">
        <v>153</v>
      </c>
      <c r="E102" s="13" t="s">
        <v>14</v>
      </c>
      <c r="F102" s="30">
        <v>0.27</v>
      </c>
      <c r="G102" s="29">
        <v>0.27</v>
      </c>
      <c r="H102" s="16"/>
      <c r="I102" s="16"/>
    </row>
    <row r="103" spans="1:10">
      <c r="A103" s="11" t="s">
        <v>10</v>
      </c>
      <c r="B103" s="12" t="s">
        <v>11</v>
      </c>
      <c r="C103" s="13" t="s">
        <v>147</v>
      </c>
      <c r="D103" s="20" t="s">
        <v>154</v>
      </c>
      <c r="E103" s="20" t="s">
        <v>14</v>
      </c>
      <c r="F103" s="31"/>
      <c r="G103" s="31"/>
      <c r="H103" s="16"/>
      <c r="I103" s="16"/>
    </row>
    <row r="104" spans="1:10">
      <c r="A104" s="11" t="s">
        <v>10</v>
      </c>
      <c r="B104" s="12" t="s">
        <v>11</v>
      </c>
      <c r="C104" s="13" t="s">
        <v>147</v>
      </c>
      <c r="D104" s="20" t="s">
        <v>155</v>
      </c>
      <c r="E104" s="20" t="s">
        <v>14</v>
      </c>
      <c r="F104" s="31"/>
      <c r="G104" s="31"/>
      <c r="H104" s="16"/>
      <c r="I104" s="16"/>
    </row>
    <row r="105" spans="1:10">
      <c r="A105" s="11" t="s">
        <v>10</v>
      </c>
      <c r="B105" s="12" t="s">
        <v>11</v>
      </c>
      <c r="C105" s="13" t="s">
        <v>147</v>
      </c>
      <c r="D105" s="13" t="s">
        <v>156</v>
      </c>
      <c r="E105" s="13" t="s">
        <v>14</v>
      </c>
      <c r="F105" s="29">
        <v>0.64</v>
      </c>
      <c r="G105" s="29">
        <v>0.64</v>
      </c>
      <c r="H105" s="15" t="b">
        <f>1=SUM(F101:F105)</f>
        <v>1</v>
      </c>
      <c r="I105" s="15" t="b">
        <f>1=SUM(G101:G105)</f>
        <v>1</v>
      </c>
    </row>
    <row r="106" spans="1:10">
      <c r="A106" s="11" t="s">
        <v>10</v>
      </c>
      <c r="B106" s="12" t="s">
        <v>11</v>
      </c>
      <c r="C106" s="32" t="s">
        <v>98</v>
      </c>
      <c r="D106" s="13" t="s">
        <v>157</v>
      </c>
      <c r="E106" s="13" t="s">
        <v>14</v>
      </c>
      <c r="F106" s="14">
        <v>12471</v>
      </c>
      <c r="G106" s="14">
        <v>14890</v>
      </c>
      <c r="H106" s="16"/>
      <c r="I106" s="16"/>
      <c r="J106" s="6" t="s">
        <v>158</v>
      </c>
    </row>
    <row r="107" spans="1:10">
      <c r="A107" s="11" t="s">
        <v>10</v>
      </c>
      <c r="B107" s="12" t="s">
        <v>11</v>
      </c>
      <c r="C107" s="32" t="s">
        <v>98</v>
      </c>
      <c r="D107" s="13" t="s">
        <v>159</v>
      </c>
      <c r="E107" s="13" t="s">
        <v>14</v>
      </c>
      <c r="F107" s="14">
        <v>7192</v>
      </c>
      <c r="G107" s="14">
        <v>7658</v>
      </c>
      <c r="H107" s="16"/>
      <c r="I107" s="16"/>
      <c r="J107" s="6" t="s">
        <v>160</v>
      </c>
    </row>
    <row r="108" spans="1:10">
      <c r="A108" s="11" t="s">
        <v>10</v>
      </c>
      <c r="B108" s="12" t="s">
        <v>11</v>
      </c>
      <c r="C108" s="32" t="s">
        <v>98</v>
      </c>
      <c r="D108" s="13" t="s">
        <v>161</v>
      </c>
      <c r="E108" s="13" t="s">
        <v>14</v>
      </c>
      <c r="F108" s="14">
        <f>3062+89+659</f>
        <v>3810</v>
      </c>
      <c r="G108" s="14">
        <f>2773+131+650</f>
        <v>3554</v>
      </c>
      <c r="H108" s="28"/>
      <c r="I108" s="28"/>
    </row>
    <row r="109" spans="1:10">
      <c r="A109" s="11" t="s">
        <v>10</v>
      </c>
      <c r="B109" s="12" t="s">
        <v>11</v>
      </c>
      <c r="C109" s="32" t="s">
        <v>98</v>
      </c>
      <c r="D109" s="13" t="s">
        <v>162</v>
      </c>
      <c r="E109" s="13" t="s">
        <v>14</v>
      </c>
      <c r="F109" s="14">
        <v>8982</v>
      </c>
      <c r="G109" s="14">
        <v>9108</v>
      </c>
      <c r="H109" s="15" t="b">
        <f>SUM(F106:F108)=SUM(F109:F113)</f>
        <v>1</v>
      </c>
      <c r="I109" s="15" t="b">
        <f>SUM(G106:G108)=SUM(G109:G113)</f>
        <v>1</v>
      </c>
    </row>
    <row r="110" spans="1:10">
      <c r="A110" s="11" t="s">
        <v>10</v>
      </c>
      <c r="B110" s="12" t="s">
        <v>11</v>
      </c>
      <c r="C110" s="32" t="s">
        <v>98</v>
      </c>
      <c r="D110" s="13" t="s">
        <v>163</v>
      </c>
      <c r="E110" s="13" t="s">
        <v>14</v>
      </c>
      <c r="F110" s="14">
        <f>348+341+1471</f>
        <v>2160</v>
      </c>
      <c r="G110" s="14">
        <f>336+334+1417</f>
        <v>2087</v>
      </c>
      <c r="H110" s="33"/>
      <c r="I110" s="33"/>
    </row>
    <row r="111" spans="1:10">
      <c r="A111" s="11" t="s">
        <v>10</v>
      </c>
      <c r="B111" s="12" t="s">
        <v>11</v>
      </c>
      <c r="C111" s="32" t="s">
        <v>98</v>
      </c>
      <c r="D111" s="13" t="s">
        <v>164</v>
      </c>
      <c r="E111" s="13" t="s">
        <v>14</v>
      </c>
      <c r="F111" s="14">
        <f>9516+289+532</f>
        <v>10337</v>
      </c>
      <c r="G111" s="14">
        <f>11752+504+668</f>
        <v>12924</v>
      </c>
      <c r="H111" s="16"/>
      <c r="I111" s="16"/>
    </row>
    <row r="112" spans="1:10">
      <c r="A112" s="11" t="s">
        <v>10</v>
      </c>
      <c r="B112" s="12" t="s">
        <v>11</v>
      </c>
      <c r="C112" s="32" t="s">
        <v>98</v>
      </c>
      <c r="D112" s="13" t="s">
        <v>165</v>
      </c>
      <c r="E112" s="13" t="s">
        <v>14</v>
      </c>
      <c r="F112" s="14">
        <v>0</v>
      </c>
      <c r="G112" s="14">
        <v>0</v>
      </c>
      <c r="H112" s="16"/>
      <c r="I112" s="16"/>
    </row>
    <row r="113" spans="1:11">
      <c r="A113" s="11" t="s">
        <v>10</v>
      </c>
      <c r="B113" s="12" t="s">
        <v>11</v>
      </c>
      <c r="C113" s="32" t="s">
        <v>98</v>
      </c>
      <c r="D113" s="13" t="s">
        <v>166</v>
      </c>
      <c r="E113" s="13" t="s">
        <v>14</v>
      </c>
      <c r="F113" s="14">
        <f>1286+708</f>
        <v>1994</v>
      </c>
      <c r="G113" s="14">
        <f>1326+657</f>
        <v>1983</v>
      </c>
      <c r="H113" s="16"/>
      <c r="I113" s="16"/>
    </row>
    <row r="114" s="1" customFormat="1" spans="1:11">
      <c r="A114" s="11" t="s">
        <v>10</v>
      </c>
      <c r="B114" s="34" t="s">
        <v>11</v>
      </c>
      <c r="C114" s="24" t="s">
        <v>167</v>
      </c>
      <c r="D114" s="24" t="s">
        <v>168</v>
      </c>
      <c r="E114" s="24" t="s">
        <v>14</v>
      </c>
      <c r="F114" s="14">
        <v>966344</v>
      </c>
      <c r="G114" s="14">
        <v>1177740</v>
      </c>
      <c r="H114" s="14"/>
      <c r="I114" s="14"/>
      <c r="J114" s="6" t="s">
        <v>169</v>
      </c>
      <c r="K114" s="6"/>
    </row>
    <row r="115" s="1" customFormat="1" spans="1:11">
      <c r="A115" s="11" t="s">
        <v>10</v>
      </c>
      <c r="B115" s="34" t="s">
        <v>11</v>
      </c>
      <c r="C115" s="24" t="s">
        <v>167</v>
      </c>
      <c r="D115" s="24" t="s">
        <v>170</v>
      </c>
      <c r="E115" s="24" t="s">
        <v>14</v>
      </c>
      <c r="F115" s="14">
        <v>1177740</v>
      </c>
      <c r="G115" s="14">
        <v>1338124</v>
      </c>
      <c r="H115" s="14"/>
      <c r="I115" s="14"/>
      <c r="J115" s="6" t="s">
        <v>171</v>
      </c>
      <c r="K115" s="6"/>
    </row>
    <row r="116" s="1" customFormat="1" spans="1:11">
      <c r="A116" s="11" t="s">
        <v>10</v>
      </c>
      <c r="B116" s="34" t="s">
        <v>11</v>
      </c>
      <c r="C116" s="24" t="s">
        <v>167</v>
      </c>
      <c r="D116" s="24" t="s">
        <v>172</v>
      </c>
      <c r="E116" s="24" t="s">
        <v>14</v>
      </c>
      <c r="F116" s="14">
        <v>8673</v>
      </c>
      <c r="G116" s="14">
        <v>9900</v>
      </c>
      <c r="H116" s="14"/>
      <c r="I116" s="14"/>
      <c r="J116" s="6" t="s">
        <v>173</v>
      </c>
      <c r="K116" s="6"/>
    </row>
    <row r="117" s="1" customFormat="1" spans="1:11">
      <c r="A117" s="11" t="s">
        <v>10</v>
      </c>
      <c r="B117" s="34" t="s">
        <v>11</v>
      </c>
      <c r="C117" s="24" t="s">
        <v>167</v>
      </c>
      <c r="D117" s="24" t="s">
        <v>174</v>
      </c>
      <c r="E117" s="24" t="s">
        <v>14</v>
      </c>
      <c r="F117" s="14">
        <v>9900</v>
      </c>
      <c r="G117" s="14">
        <v>10324</v>
      </c>
      <c r="H117" s="14"/>
      <c r="I117" s="14"/>
      <c r="J117" s="6" t="s">
        <v>175</v>
      </c>
      <c r="K117" s="6"/>
    </row>
    <row r="118" s="1" customFormat="1" spans="1:11">
      <c r="A118" s="11" t="s">
        <v>10</v>
      </c>
      <c r="B118" s="34" t="s">
        <v>11</v>
      </c>
      <c r="C118" s="24" t="s">
        <v>167</v>
      </c>
      <c r="D118" s="24" t="s">
        <v>176</v>
      </c>
      <c r="E118" s="24" t="s">
        <v>14</v>
      </c>
      <c r="F118" s="14">
        <v>1144021</v>
      </c>
      <c r="G118" s="14">
        <v>1363507</v>
      </c>
      <c r="H118" s="15" t="b">
        <f>F118=SUM(F114+F116+F9)</f>
        <v>1</v>
      </c>
      <c r="I118" s="15" t="b">
        <f>G118=SUM(G114+G116+G9)</f>
        <v>1</v>
      </c>
      <c r="J118" s="6" t="s">
        <v>177</v>
      </c>
      <c r="K118" s="6"/>
    </row>
    <row r="119" s="1" customFormat="1" spans="1:11">
      <c r="A119" s="11" t="s">
        <v>10</v>
      </c>
      <c r="B119" s="34" t="s">
        <v>11</v>
      </c>
      <c r="C119" s="24" t="s">
        <v>167</v>
      </c>
      <c r="D119" s="24" t="s">
        <v>178</v>
      </c>
      <c r="E119" s="24" t="s">
        <v>14</v>
      </c>
      <c r="F119" s="14">
        <v>1363507</v>
      </c>
      <c r="G119" s="14">
        <v>1530171</v>
      </c>
      <c r="H119" s="15" t="b">
        <f>F119=SUM(F115+F117+F16)</f>
        <v>1</v>
      </c>
      <c r="I119" s="15" t="b">
        <f>G119=SUM(G115+G117+G16)</f>
        <v>1</v>
      </c>
      <c r="J119" s="6" t="s">
        <v>179</v>
      </c>
      <c r="K119" s="6"/>
    </row>
    <row r="120" s="1" customFormat="1" spans="1:11">
      <c r="A120" s="11" t="s">
        <v>10</v>
      </c>
      <c r="B120" s="34" t="s">
        <v>11</v>
      </c>
      <c r="C120" s="24" t="s">
        <v>167</v>
      </c>
      <c r="D120" s="24" t="s">
        <v>180</v>
      </c>
      <c r="E120" s="24" t="s">
        <v>14</v>
      </c>
      <c r="F120" s="14">
        <v>1124597</v>
      </c>
      <c r="G120" s="14">
        <v>1343512</v>
      </c>
      <c r="H120" s="14"/>
      <c r="I120" s="14"/>
      <c r="J120" s="6" t="s">
        <v>181</v>
      </c>
      <c r="K120" s="6"/>
    </row>
    <row r="121" s="1" customFormat="1" spans="1:11">
      <c r="A121" s="11" t="s">
        <v>10</v>
      </c>
      <c r="B121" s="34" t="s">
        <v>11</v>
      </c>
      <c r="C121" s="24" t="s">
        <v>167</v>
      </c>
      <c r="D121" s="24" t="s">
        <v>182</v>
      </c>
      <c r="E121" s="24" t="s">
        <v>14</v>
      </c>
      <c r="F121" s="14">
        <v>7621</v>
      </c>
      <c r="G121" s="14">
        <v>7453</v>
      </c>
      <c r="H121" s="14"/>
      <c r="I121" s="14"/>
      <c r="J121" s="6"/>
      <c r="K121" s="6"/>
    </row>
    <row r="122" s="1" customFormat="1" spans="1:11">
      <c r="A122" s="11" t="s">
        <v>10</v>
      </c>
      <c r="B122" s="34" t="s">
        <v>11</v>
      </c>
      <c r="C122" s="24" t="s">
        <v>167</v>
      </c>
      <c r="D122" s="24" t="s">
        <v>183</v>
      </c>
      <c r="E122" s="24" t="s">
        <v>14</v>
      </c>
      <c r="F122" s="14">
        <v>11803</v>
      </c>
      <c r="G122" s="14">
        <v>12542</v>
      </c>
      <c r="H122" s="14"/>
      <c r="I122" s="14"/>
      <c r="J122" s="6" t="s">
        <v>184</v>
      </c>
      <c r="K122" s="6"/>
    </row>
    <row r="123" s="1" customFormat="1" spans="1:11">
      <c r="A123" s="11" t="s">
        <v>10</v>
      </c>
      <c r="B123" s="34" t="s">
        <v>11</v>
      </c>
      <c r="C123" s="24" t="s">
        <v>167</v>
      </c>
      <c r="D123" s="24" t="s">
        <v>185</v>
      </c>
      <c r="E123" s="24" t="s">
        <v>14</v>
      </c>
      <c r="F123" s="14">
        <v>1144021</v>
      </c>
      <c r="G123" s="14">
        <v>1363507</v>
      </c>
      <c r="H123" s="15" t="b">
        <f>F123=SUM(F120:F122)</f>
        <v>1</v>
      </c>
      <c r="I123" s="15" t="b">
        <f>G123=SUM(G120:G122)</f>
        <v>1</v>
      </c>
      <c r="J123" s="6"/>
      <c r="K123" s="6"/>
    </row>
    <row r="124" s="1" customFormat="1" spans="1:11">
      <c r="A124" s="11" t="s">
        <v>10</v>
      </c>
      <c r="B124" s="34" t="s">
        <v>11</v>
      </c>
      <c r="C124" s="24" t="s">
        <v>167</v>
      </c>
      <c r="D124" s="24" t="s">
        <v>186</v>
      </c>
      <c r="E124" s="24" t="s">
        <v>14</v>
      </c>
      <c r="F124" s="14">
        <v>1343512</v>
      </c>
      <c r="G124" s="14">
        <v>1509857</v>
      </c>
      <c r="H124" s="14"/>
      <c r="I124" s="14"/>
      <c r="J124" s="6"/>
      <c r="K124" s="6"/>
    </row>
    <row r="125" s="1" customFormat="1" spans="1:11">
      <c r="A125" s="11" t="s">
        <v>10</v>
      </c>
      <c r="B125" s="34" t="s">
        <v>11</v>
      </c>
      <c r="C125" s="24" t="s">
        <v>167</v>
      </c>
      <c r="D125" s="24" t="s">
        <v>187</v>
      </c>
      <c r="E125" s="24" t="s">
        <v>14</v>
      </c>
      <c r="F125" s="14">
        <v>7453</v>
      </c>
      <c r="G125" s="14">
        <v>7605</v>
      </c>
      <c r="H125" s="14"/>
      <c r="I125" s="14"/>
      <c r="J125" s="6"/>
      <c r="K125" s="6"/>
    </row>
    <row r="126" s="1" customFormat="1" spans="1:11">
      <c r="A126" s="11" t="s">
        <v>10</v>
      </c>
      <c r="B126" s="34" t="s">
        <v>11</v>
      </c>
      <c r="C126" s="24" t="s">
        <v>167</v>
      </c>
      <c r="D126" s="24" t="s">
        <v>188</v>
      </c>
      <c r="E126" s="24" t="s">
        <v>14</v>
      </c>
      <c r="F126" s="14">
        <v>12542</v>
      </c>
      <c r="G126" s="14">
        <v>12709</v>
      </c>
      <c r="H126" s="14"/>
      <c r="I126" s="14"/>
      <c r="J126" s="6"/>
      <c r="K126" s="6"/>
    </row>
    <row r="127" s="1" customFormat="1" spans="1:11">
      <c r="A127" s="11" t="s">
        <v>10</v>
      </c>
      <c r="B127" s="34" t="s">
        <v>11</v>
      </c>
      <c r="C127" s="24" t="s">
        <v>167</v>
      </c>
      <c r="D127" s="24" t="s">
        <v>189</v>
      </c>
      <c r="E127" s="24" t="s">
        <v>14</v>
      </c>
      <c r="F127" s="14">
        <v>1363507</v>
      </c>
      <c r="G127" s="14">
        <v>1530171</v>
      </c>
      <c r="H127" s="15" t="b">
        <f>F127=SUM(F124:F126)</f>
        <v>1</v>
      </c>
      <c r="I127" s="15" t="b">
        <f>G127=SUM(G124:G126)</f>
        <v>1</v>
      </c>
      <c r="J127" s="6"/>
      <c r="K127" s="6"/>
    </row>
    <row r="128" s="1" customFormat="1" spans="1:11">
      <c r="A128" s="11" t="s">
        <v>10</v>
      </c>
      <c r="B128" s="34" t="s">
        <v>11</v>
      </c>
      <c r="C128" s="24" t="s">
        <v>167</v>
      </c>
      <c r="D128" s="24" t="s">
        <v>190</v>
      </c>
      <c r="E128" s="24" t="s">
        <v>14</v>
      </c>
      <c r="F128" s="14">
        <v>611</v>
      </c>
      <c r="G128" s="14">
        <v>447</v>
      </c>
      <c r="H128" s="14"/>
      <c r="I128" s="14"/>
      <c r="J128" s="6" t="s">
        <v>191</v>
      </c>
      <c r="K128" s="6"/>
    </row>
    <row r="129" s="1" customFormat="1" spans="1:11">
      <c r="A129" s="11" t="s">
        <v>10</v>
      </c>
      <c r="B129" s="34" t="s">
        <v>11</v>
      </c>
      <c r="C129" s="24" t="s">
        <v>167</v>
      </c>
      <c r="D129" s="24" t="s">
        <v>192</v>
      </c>
      <c r="E129" s="24" t="s">
        <v>14</v>
      </c>
      <c r="F129" s="14">
        <v>161</v>
      </c>
      <c r="G129" s="14">
        <v>222</v>
      </c>
      <c r="H129" s="14"/>
      <c r="I129" s="14"/>
      <c r="J129" s="6"/>
      <c r="K129" s="6"/>
    </row>
    <row r="130" s="1" customFormat="1" spans="1:11">
      <c r="A130" s="11" t="s">
        <v>10</v>
      </c>
      <c r="B130" s="34" t="s">
        <v>11</v>
      </c>
      <c r="C130" s="24" t="s">
        <v>167</v>
      </c>
      <c r="D130" s="24" t="s">
        <v>193</v>
      </c>
      <c r="E130" s="24" t="s">
        <v>14</v>
      </c>
      <c r="F130" s="14">
        <v>1662</v>
      </c>
      <c r="G130" s="14">
        <v>1869</v>
      </c>
      <c r="H130" s="14"/>
      <c r="I130" s="14"/>
      <c r="J130" s="6"/>
      <c r="K130" s="6"/>
    </row>
    <row r="131" s="1" customFormat="1" spans="1:11">
      <c r="A131" s="11" t="s">
        <v>10</v>
      </c>
      <c r="B131" s="34" t="s">
        <v>11</v>
      </c>
      <c r="C131" s="24" t="s">
        <v>167</v>
      </c>
      <c r="D131" s="24" t="s">
        <v>194</v>
      </c>
      <c r="E131" s="24" t="s">
        <v>14</v>
      </c>
      <c r="F131" s="14">
        <v>42</v>
      </c>
      <c r="G131" s="14">
        <v>45</v>
      </c>
      <c r="H131" s="14"/>
      <c r="I131" s="14"/>
      <c r="J131" s="6"/>
      <c r="K131" s="6"/>
    </row>
    <row r="132" s="1" customFormat="1" spans="1:11">
      <c r="A132" s="11" t="s">
        <v>10</v>
      </c>
      <c r="B132" s="34" t="s">
        <v>11</v>
      </c>
      <c r="C132" s="24" t="s">
        <v>167</v>
      </c>
      <c r="D132" s="24" t="s">
        <v>195</v>
      </c>
      <c r="E132" s="24" t="s">
        <v>14</v>
      </c>
      <c r="F132" s="14">
        <v>2476</v>
      </c>
      <c r="G132" s="14">
        <v>2583</v>
      </c>
      <c r="H132" s="15" t="b">
        <f>F132=SUM(F128:F131)</f>
        <v>1</v>
      </c>
      <c r="I132" s="15" t="b">
        <f>G132=SUM(G128:G131)</f>
        <v>1</v>
      </c>
      <c r="J132" s="6"/>
      <c r="K132" s="6"/>
    </row>
    <row r="133" s="1" customFormat="1" spans="1:11">
      <c r="A133" s="11" t="s">
        <v>10</v>
      </c>
      <c r="B133" s="34" t="s">
        <v>11</v>
      </c>
      <c r="C133" s="24" t="s">
        <v>167</v>
      </c>
      <c r="D133" s="24" t="s">
        <v>196</v>
      </c>
      <c r="E133" s="24" t="s">
        <v>14</v>
      </c>
      <c r="F133" s="14">
        <v>447</v>
      </c>
      <c r="G133" s="14">
        <v>587</v>
      </c>
      <c r="H133" s="14"/>
      <c r="I133" s="14"/>
      <c r="J133" s="6"/>
      <c r="K133" s="6"/>
    </row>
    <row r="134" s="1" customFormat="1" spans="1:11">
      <c r="A134" s="11" t="s">
        <v>10</v>
      </c>
      <c r="B134" s="34" t="s">
        <v>11</v>
      </c>
      <c r="C134" s="24" t="s">
        <v>167</v>
      </c>
      <c r="D134" s="24" t="s">
        <v>197</v>
      </c>
      <c r="E134" s="24" t="s">
        <v>14</v>
      </c>
      <c r="F134" s="14">
        <v>222</v>
      </c>
      <c r="G134" s="14">
        <v>119</v>
      </c>
      <c r="H134" s="14"/>
      <c r="I134" s="14"/>
      <c r="J134" s="6"/>
      <c r="K134" s="6"/>
    </row>
    <row r="135" s="1" customFormat="1" spans="1:11">
      <c r="A135" s="11" t="s">
        <v>10</v>
      </c>
      <c r="B135" s="34" t="s">
        <v>11</v>
      </c>
      <c r="C135" s="24" t="s">
        <v>167</v>
      </c>
      <c r="D135" s="24" t="s">
        <v>198</v>
      </c>
      <c r="E135" s="24" t="s">
        <v>14</v>
      </c>
      <c r="F135" s="14">
        <v>1869</v>
      </c>
      <c r="G135" s="14">
        <v>1718</v>
      </c>
      <c r="H135" s="14"/>
      <c r="I135" s="14"/>
      <c r="J135" s="6"/>
      <c r="K135" s="6"/>
    </row>
    <row r="136" s="1" customFormat="1" spans="1:11">
      <c r="A136" s="11" t="s">
        <v>10</v>
      </c>
      <c r="B136" s="34" t="s">
        <v>11</v>
      </c>
      <c r="C136" s="24" t="s">
        <v>167</v>
      </c>
      <c r="D136" s="24" t="s">
        <v>199</v>
      </c>
      <c r="E136" s="24" t="s">
        <v>14</v>
      </c>
      <c r="F136" s="14">
        <v>45</v>
      </c>
      <c r="G136" s="14">
        <v>43</v>
      </c>
      <c r="H136" s="14"/>
      <c r="I136" s="14"/>
      <c r="J136" s="6"/>
      <c r="K136" s="6"/>
    </row>
    <row r="137" s="1" customFormat="1" spans="1:11">
      <c r="A137" s="11" t="s">
        <v>10</v>
      </c>
      <c r="B137" s="34" t="s">
        <v>11</v>
      </c>
      <c r="C137" s="24" t="s">
        <v>167</v>
      </c>
      <c r="D137" s="24" t="s">
        <v>200</v>
      </c>
      <c r="E137" s="24" t="s">
        <v>14</v>
      </c>
      <c r="F137" s="14">
        <v>2583</v>
      </c>
      <c r="G137" s="14">
        <v>2467</v>
      </c>
      <c r="H137" s="15" t="b">
        <f>F137=SUM(F133:F136)</f>
        <v>1</v>
      </c>
      <c r="I137" s="15" t="b">
        <f>G137=SUM(G133:G136)</f>
        <v>1</v>
      </c>
      <c r="J137" s="6"/>
      <c r="K137" s="6"/>
    </row>
  </sheetData>
  <autoFilter xmlns:etc="http://www.wps.cn/officeDocument/2017/etCustomData" ref="E1:E137" etc:filterBottomFollowUsedRange="0">
    <extLst/>
  </autoFilter>
  <conditionalFormatting sqref="H16:I16">
    <cfRule type="cellIs" dxfId="0" priority="13" operator="equal">
      <formula>TRUE</formula>
    </cfRule>
  </conditionalFormatting>
  <conditionalFormatting sqref="H20:I20">
    <cfRule type="cellIs" dxfId="0" priority="21" operator="equal">
      <formula>TRUE</formula>
    </cfRule>
  </conditionalFormatting>
  <conditionalFormatting sqref="H39:I39">
    <cfRule type="cellIs" dxfId="0" priority="17" operator="equal">
      <formula>TRUE</formula>
    </cfRule>
  </conditionalFormatting>
  <conditionalFormatting sqref="H41:I41">
    <cfRule type="cellIs" dxfId="0" priority="16" operator="equal">
      <formula>TRUE</formula>
    </cfRule>
  </conditionalFormatting>
  <conditionalFormatting sqref="H68:I68">
    <cfRule type="cellIs" dxfId="0" priority="14" operator="equal">
      <formula>TRUE</formula>
    </cfRule>
  </conditionalFormatting>
  <conditionalFormatting sqref="H109:I109">
    <cfRule type="cellIs" dxfId="1" priority="11" operator="equal">
      <formula>FALSE</formula>
    </cfRule>
  </conditionalFormatting>
  <conditionalFormatting sqref="H123:I123">
    <cfRule type="cellIs" dxfId="1" priority="7" operator="equal">
      <formula>FALSE</formula>
    </cfRule>
    <cfRule type="cellIs" dxfId="0" priority="8" operator="equal">
      <formula>TRUE</formula>
    </cfRule>
  </conditionalFormatting>
  <conditionalFormatting sqref="H127:I127">
    <cfRule type="cellIs" dxfId="1" priority="5" operator="equal">
      <formula>FALSE</formula>
    </cfRule>
    <cfRule type="cellIs" dxfId="0" priority="6" operator="equal">
      <formula>TRUE</formula>
    </cfRule>
  </conditionalFormatting>
  <conditionalFormatting sqref="H132:I132">
    <cfRule type="cellIs" dxfId="1" priority="3" operator="equal">
      <formula>FALSE</formula>
    </cfRule>
    <cfRule type="cellIs" dxfId="0" priority="4" operator="equal">
      <formula>TRUE</formula>
    </cfRule>
  </conditionalFormatting>
  <conditionalFormatting sqref="H137:I137">
    <cfRule type="cellIs" dxfId="1" priority="1" operator="equal">
      <formula>FALSE</formula>
    </cfRule>
    <cfRule type="cellIs" dxfId="0" priority="2" operator="equal">
      <formula>TRUE</formula>
    </cfRule>
  </conditionalFormatting>
  <conditionalFormatting sqref="H2:I2 H9:I9">
    <cfRule type="cellIs" dxfId="0" priority="22" operator="equal">
      <formula>TRUE</formula>
    </cfRule>
  </conditionalFormatting>
  <conditionalFormatting sqref="H23:I24">
    <cfRule type="cellIs" dxfId="0" priority="19" operator="equal">
      <formula>TRUE</formula>
    </cfRule>
  </conditionalFormatting>
  <conditionalFormatting sqref="H32:I34">
    <cfRule type="cellIs" dxfId="0" priority="18" operator="equal">
      <formula>TRUE</formula>
    </cfRule>
  </conditionalFormatting>
  <conditionalFormatting sqref="H79:I80">
    <cfRule type="cellIs" dxfId="0" priority="20" operator="equal">
      <formula>TRUE</formula>
    </cfRule>
  </conditionalFormatting>
  <conditionalFormatting sqref="H83:I86">
    <cfRule type="cellIs" dxfId="0" priority="15" operator="equal">
      <formula>TRUE</formula>
    </cfRule>
  </conditionalFormatting>
  <conditionalFormatting sqref="H105:I105 H109:I109">
    <cfRule type="cellIs" dxfId="0" priority="12" operator="equal">
      <formula>TRUE</formula>
    </cfRule>
  </conditionalFormatting>
  <conditionalFormatting sqref="H118:I119">
    <cfRule type="cellIs" dxfId="1" priority="9" operator="equal">
      <formula>FALSE</formula>
    </cfRule>
    <cfRule type="cellIs" dxfId="0" priority="10" operator="equal">
      <formula>TRUE</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KPMG</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Bella X.Y. (SH/Trusted)</dc:creator>
  <cp:lastModifiedBy>林友沐</cp:lastModifiedBy>
  <dcterms:created xsi:type="dcterms:W3CDTF">2026-04-23T06:24:00Z</dcterms:created>
  <dcterms:modified xsi:type="dcterms:W3CDTF">2026-05-08T16:47:56Z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7D99C66F653D43B9866C81438C408293_13</vt:lpwstr>
  </property>
  <property fmtid="{D5CDD505-2E9C-101B-9397-08002B2CF9AE}" pid="3" name="KSOProductBuildVer">
    <vt:lpwstr>2052-12.1.0.25865</vt:lpwstr>
  </property>
  <property fmtid="{D5CDD505-2E9C-101B-9397-08002B2CF9AE}" pid="4" name="CalculationRule">
    <vt:i4>0</vt:i4>
  </property>
</Properties>
</file>